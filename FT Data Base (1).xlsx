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A14D312182831DB/Documents/"/>
    </mc:Choice>
  </mc:AlternateContent>
  <xr:revisionPtr revIDLastSave="0" documentId="8_{61AD53B8-1A16-4A3B-8153-933951ED2E8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CLIENTS INFO" sheetId="1" r:id="rId1"/>
    <sheet name="CREDIT CHECK" sheetId="2" r:id="rId2"/>
    <sheet name="CONNECTABILITY" sheetId="10" r:id="rId3"/>
    <sheet name="CASE MANEGERS CONTACTS" sheetId="7" r:id="rId4"/>
    <sheet name="DRIVERS INFO" sheetId="9" r:id="rId5"/>
    <sheet name="SERVICE RATE" sheetId="4" r:id="rId6"/>
    <sheet name="MONTHY EXPENSESS" sheetId="3" r:id="rId7"/>
    <sheet name="REFERRAL INSTRUCTORS" sheetId="5" r:id="rId8"/>
    <sheet name="HIRING INSTRCTORS" sheetId="6" r:id="rId9"/>
    <sheet name="COMPANY INFO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0" l="1"/>
  <c r="AO8" i="2"/>
  <c r="AO7" i="2"/>
  <c r="AO6" i="2"/>
  <c r="P18" i="3"/>
  <c r="AP8" i="2" l="1"/>
  <c r="F8" i="2"/>
  <c r="AP7" i="2"/>
  <c r="F7" i="2"/>
  <c r="AP6" i="2"/>
  <c r="F6" i="2"/>
</calcChain>
</file>

<file path=xl/sharedStrings.xml><?xml version="1.0" encoding="utf-8"?>
<sst xmlns="http://schemas.openxmlformats.org/spreadsheetml/2006/main" count="299" uniqueCount="211">
  <si>
    <t>Client Information</t>
  </si>
  <si>
    <t>CLIENT NAME</t>
  </si>
  <si>
    <t>DOB</t>
  </si>
  <si>
    <t>PHONE NUMBER</t>
  </si>
  <si>
    <t>ADDRESS</t>
  </si>
  <si>
    <t>WAIVER TYPE</t>
  </si>
  <si>
    <t>COUNTY</t>
  </si>
  <si>
    <t>REFERRAL BY</t>
  </si>
  <si>
    <t>MONTHLY  CREDIT</t>
  </si>
  <si>
    <t>CASE MANEGER</t>
  </si>
  <si>
    <t>CREDIT USED FOR</t>
  </si>
  <si>
    <t xml:space="preserve">PHONE NUMBER </t>
  </si>
  <si>
    <t>EMAIL</t>
  </si>
  <si>
    <t>SERVICE TYPE</t>
  </si>
  <si>
    <t>REFERRAL EXPRATION</t>
  </si>
  <si>
    <t>NOTE</t>
  </si>
  <si>
    <t>ANITA ALLEN</t>
  </si>
  <si>
    <t>612-391-3858</t>
  </si>
  <si>
    <t>109 9th Ave NE Osseo, MN 55369</t>
  </si>
  <si>
    <t>N/A</t>
  </si>
  <si>
    <t>Hennepin county</t>
  </si>
  <si>
    <t>ConnectAbility</t>
  </si>
  <si>
    <t>Nawal,A</t>
  </si>
  <si>
    <t>Pleasur</t>
  </si>
  <si>
    <t>transportation@connectabilitymn.org</t>
  </si>
  <si>
    <t>Common Carrier</t>
  </si>
  <si>
    <t>Sharon Henderson</t>
  </si>
  <si>
    <t>612-280-4370</t>
  </si>
  <si>
    <t>718 NEWTON AVE N Minneapolis, MN 55411</t>
  </si>
  <si>
    <r>
      <t> and Sharon would like to closely </t>
    </r>
    <r>
      <rPr>
        <b/>
        <sz val="12"/>
        <color rgb="FF000000"/>
        <rFont val="Aptos"/>
        <charset val="1"/>
      </rPr>
      <t>track her rides and monitor her spending</t>
    </r>
    <r>
      <rPr>
        <sz val="12"/>
        <color rgb="FF000000"/>
        <rFont val="Aptos"/>
        <charset val="1"/>
      </rPr>
      <t>, as she has had issues in the past with going over her budget, thank you!</t>
    </r>
  </si>
  <si>
    <t>School</t>
  </si>
  <si>
    <t>CLIENTS CREDIT TRACKER</t>
  </si>
  <si>
    <t>TOTAL GAIN</t>
  </si>
  <si>
    <t>CLIENT  NAME</t>
  </si>
  <si>
    <t>CREDIT LIMIT</t>
  </si>
  <si>
    <t>Total Spend</t>
  </si>
  <si>
    <t>Remaning Balance</t>
  </si>
  <si>
    <t>Anita Allen</t>
  </si>
  <si>
    <t>PICK UP</t>
  </si>
  <si>
    <t>DROP OFF</t>
  </si>
  <si>
    <t>MILES</t>
  </si>
  <si>
    <t>CHARGE PER MILE</t>
  </si>
  <si>
    <t>CHARGE PER PICK UP</t>
  </si>
  <si>
    <t>WAITING TIME</t>
  </si>
  <si>
    <t>TOTAL</t>
  </si>
  <si>
    <t>DATE</t>
  </si>
  <si>
    <t>2303 N Bryant Ave</t>
  </si>
  <si>
    <r>
      <t>1314 N 44</t>
    </r>
    <r>
      <rPr>
        <vertAlign val="superscript"/>
        <sz val="12"/>
        <color theme="1"/>
        <rFont val="Aptos"/>
        <family val="2"/>
        <charset val="1"/>
      </rPr>
      <t>th</t>
    </r>
    <r>
      <rPr>
        <sz val="12"/>
        <color theme="1"/>
        <rFont val="Aptos"/>
        <family val="2"/>
        <charset val="1"/>
      </rPr>
      <t xml:space="preserve"> Ave</t>
    </r>
  </si>
  <si>
    <r>
      <t>1314 N 44</t>
    </r>
    <r>
      <rPr>
        <vertAlign val="superscript"/>
        <sz val="12"/>
        <color theme="1"/>
        <rFont val="Aptos"/>
        <family val="2"/>
        <charset val="1"/>
      </rPr>
      <t>th</t>
    </r>
    <r>
      <rPr>
        <sz val="12"/>
        <color theme="1"/>
        <rFont val="Aptos"/>
        <family val="2"/>
        <charset val="1"/>
      </rPr>
      <t xml:space="preserve"> ave</t>
    </r>
  </si>
  <si>
    <r>
      <t>109 9</t>
    </r>
    <r>
      <rPr>
        <vertAlign val="superscript"/>
        <sz val="12"/>
        <color theme="1"/>
        <rFont val="Aptos"/>
        <family val="2"/>
        <charset val="1"/>
      </rPr>
      <t>th</t>
    </r>
    <r>
      <rPr>
        <sz val="12"/>
        <color theme="1"/>
        <rFont val="Aptos"/>
        <family val="2"/>
        <charset val="1"/>
      </rPr>
      <t xml:space="preserve"> ave NE</t>
    </r>
  </si>
  <si>
    <t>1735 Marshall ave</t>
  </si>
  <si>
    <t>1481 Marshall ave</t>
  </si>
  <si>
    <t>11/1/2025 INVOCE # 001</t>
  </si>
  <si>
    <t>7051 Brooklyn center</t>
  </si>
  <si>
    <t>12/10/20250 Invoce # 002</t>
  </si>
  <si>
    <r>
      <t>408 3</t>
    </r>
    <r>
      <rPr>
        <vertAlign val="superscript"/>
        <sz val="12"/>
        <color theme="1"/>
        <rFont val="Aptos"/>
        <family val="2"/>
        <charset val="1"/>
      </rPr>
      <t>rd</t>
    </r>
    <r>
      <rPr>
        <sz val="12"/>
        <color theme="1"/>
        <rFont val="Aptos"/>
        <family val="2"/>
        <charset val="1"/>
      </rPr>
      <t xml:space="preserve"> st se</t>
    </r>
  </si>
  <si>
    <t>5710 Brookdale Dr N</t>
  </si>
  <si>
    <t>7741 Zane Ave N</t>
  </si>
  <si>
    <t>1410 Energy park dr</t>
  </si>
  <si>
    <t>1821 University Ave N</t>
  </si>
  <si>
    <t>718 N NEWTON AVE</t>
  </si>
  <si>
    <t>8000 LAKELAND AVE N</t>
  </si>
  <si>
    <t>Sharon Henderson</t>
  </si>
  <si>
    <t>5605 Xerxes Ave N</t>
  </si>
  <si>
    <t>5625 Xerxes Ave N</t>
  </si>
  <si>
    <t>5250 Great view Ave</t>
  </si>
  <si>
    <t>4072 LAKELAND AVE N</t>
  </si>
  <si>
    <t>billed</t>
  </si>
  <si>
    <t>IVNOICE #002</t>
  </si>
  <si>
    <t>1104 PLYMOUTH AVE N</t>
  </si>
  <si>
    <t>2007 GLENWOOD AVE</t>
  </si>
  <si>
    <t>CASE MANEGERS INFORMATION</t>
  </si>
  <si>
    <t>NAME</t>
  </si>
  <si>
    <t>Jennifer Rogers</t>
  </si>
  <si>
    <t>Jennifer.Rogers@fraser.org</t>
  </si>
  <si>
    <t>612-767-5153</t>
  </si>
  <si>
    <t>Fraser.org</t>
  </si>
  <si>
    <t>Stephanie Jones</t>
  </si>
  <si>
    <t>SJones@parktx.com</t>
  </si>
  <si>
    <t>612-871-7443 Ex 1238-2124</t>
  </si>
  <si>
    <t>Float Counselor-Men’s Program - park ave center</t>
  </si>
  <si>
    <t>Danita Berry, BS, LADC</t>
  </si>
  <si>
    <t>Danita.Berry@nuway.org</t>
  </si>
  <si>
    <t>612-767-0319</t>
  </si>
  <si>
    <t>Administrative Offices
2217 Nicollet Avenue S
Minneapolis, MN 55404</t>
  </si>
  <si>
    <t>Marie</t>
  </si>
  <si>
    <t>mberry@redeemerservices.com</t>
  </si>
  <si>
    <t>651-248-1780</t>
  </si>
  <si>
    <t>Anita Allen Case Manager</t>
  </si>
  <si>
    <t>Melissa Langewisch</t>
  </si>
  <si>
    <t>melissa.langewisch@nystromcounseling.com</t>
  </si>
  <si>
    <t>651-628-9566 ext. 1137</t>
  </si>
  <si>
    <t>nystrom counseling</t>
  </si>
  <si>
    <t>Tynique</t>
  </si>
  <si>
    <t>tynique.lyon@agatemn.org</t>
  </si>
  <si>
    <t>612-396-0530</t>
  </si>
  <si>
    <t>Supportive Housing Case Manage- Agate</t>
  </si>
  <si>
    <t>Qunnitina</t>
  </si>
  <si>
    <t>qunnitina.williams@agatemn.org</t>
  </si>
  <si>
    <t>612-870-2269</t>
  </si>
  <si>
    <t>agate</t>
  </si>
  <si>
    <t>fatima</t>
  </si>
  <si>
    <t>INFO@allaanceautism.org</t>
  </si>
  <si>
    <t>952-2295349</t>
  </si>
  <si>
    <t>Transportation@fraser.org</t>
  </si>
  <si>
    <t>fraser.org</t>
  </si>
  <si>
    <t>Sr Client Access Specialist, Transportation</t>
  </si>
  <si>
    <t>Ubah Abdi</t>
  </si>
  <si>
    <t xml:space="preserve">
ubah.abdiwali@gmail.com</t>
  </si>
  <si>
    <t xml:space="preserve">
(612) 558-2252</t>
  </si>
  <si>
    <t>Ebony Forslund</t>
  </si>
  <si>
    <t>ebony.forslund@accord.org</t>
  </si>
  <si>
    <t>sheron handerson Case Manager</t>
  </si>
  <si>
    <r>
      <t>Stephanie Galvin</t>
    </r>
    <r>
      <rPr>
        <sz val="12"/>
        <color rgb="FF222222"/>
        <rFont val="Arial"/>
        <family val="2"/>
        <charset val="1"/>
      </rPr>
      <t> </t>
    </r>
  </si>
  <si>
    <t>stephanie.galvin@accord.org</t>
  </si>
  <si>
    <t>DRIVERS INFORMATION</t>
  </si>
  <si>
    <t xml:space="preserve">NUMBER </t>
  </si>
  <si>
    <t>VEHICLE TYPE</t>
  </si>
  <si>
    <t>LICENE NUMBER</t>
  </si>
  <si>
    <t xml:space="preserve">MAKE </t>
  </si>
  <si>
    <t>MODEL</t>
  </si>
  <si>
    <t>VEHICLE COLOR</t>
  </si>
  <si>
    <t>EXPRATION DAY</t>
  </si>
  <si>
    <t>WORK LOCATION</t>
  </si>
  <si>
    <t>HIRING DATE</t>
  </si>
  <si>
    <t>DRIVER LICENE NUMBER</t>
  </si>
  <si>
    <t>EXP DATE</t>
  </si>
  <si>
    <t>CERTIFICATION</t>
  </si>
  <si>
    <t>OMAR MUBARAK</t>
  </si>
  <si>
    <t>BAQALLAAB2010@GMAIL.COM</t>
  </si>
  <si>
    <t>SEDAN</t>
  </si>
  <si>
    <t>OMAR47</t>
  </si>
  <si>
    <t>HONDA</t>
  </si>
  <si>
    <t>ACCORD</t>
  </si>
  <si>
    <t>RED</t>
  </si>
  <si>
    <t>3400 TYLER ST NE MINNEAPOLIS,MN 55418</t>
  </si>
  <si>
    <t>HENNEPIN COUNTY</t>
  </si>
  <si>
    <t>M293120407614</t>
  </si>
  <si>
    <t>ABDUFETAH KHALIF</t>
  </si>
  <si>
    <t>ABDUFETAHKHALF@GMAIL.COM</t>
  </si>
  <si>
    <t>SUV</t>
  </si>
  <si>
    <t>ZSX229</t>
  </si>
  <si>
    <t>CRV</t>
  </si>
  <si>
    <t>BLACK</t>
  </si>
  <si>
    <t>13816 MCKENNA RD NW PRIOR LAKE ,MN 55379</t>
  </si>
  <si>
    <t>Future Transportation Service Rate 2025-2026</t>
  </si>
  <si>
    <t>Service type</t>
  </si>
  <si>
    <t>Pick-up</t>
  </si>
  <si>
    <t>Per Miles</t>
  </si>
  <si>
    <t>Waiting Time – Per hour</t>
  </si>
  <si>
    <t>Deadhead Per Mile</t>
  </si>
  <si>
    <t>Note</t>
  </si>
  <si>
    <t>Wheelchair-accessible</t>
  </si>
  <si>
    <t xml:space="preserve">WE SERVE THE 7-county Metro- Anoka, Carver, Dakota, Hennepin, Ramsey, Scott, Washington, Isanti, Pine, and Chisago.
</t>
  </si>
  <si>
    <t>MONTHLY  EXPENSESS</t>
  </si>
  <si>
    <t>Service Name</t>
  </si>
  <si>
    <t>Cost</t>
  </si>
  <si>
    <t>Due Date</t>
  </si>
  <si>
    <t>Rent</t>
  </si>
  <si>
    <r>
      <t>3</t>
    </r>
    <r>
      <rPr>
        <vertAlign val="superscript"/>
        <sz val="12"/>
        <color theme="1"/>
        <rFont val="Calibri"/>
        <family val="2"/>
        <scheme val="minor"/>
      </rPr>
      <t>rd</t>
    </r>
    <r>
      <rPr>
        <sz val="12"/>
        <color theme="1"/>
        <rFont val="Calibri"/>
        <family val="2"/>
        <scheme val="minor"/>
      </rPr>
      <t xml:space="preserve"> of each month</t>
    </r>
  </si>
  <si>
    <t>Non- Hired and Auto Insurance</t>
  </si>
  <si>
    <r>
      <t>13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of each month</t>
    </r>
  </si>
  <si>
    <t>Phone System 3 users</t>
  </si>
  <si>
    <r>
      <t>24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of each month</t>
    </r>
  </si>
  <si>
    <t>Quick book</t>
  </si>
  <si>
    <r>
      <t>11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of each month</t>
    </r>
  </si>
  <si>
    <t>All trans System</t>
  </si>
  <si>
    <t>WEBSITE</t>
  </si>
  <si>
    <t>EMPLOYEE SAL</t>
  </si>
  <si>
    <t>1ST OF EACH MONTH</t>
  </si>
  <si>
    <t xml:space="preserve">General Libility Insurance </t>
  </si>
  <si>
    <t>WIFI</t>
  </si>
  <si>
    <t>25TH OF EACH MONTH</t>
  </si>
  <si>
    <t>HIRING INSTRACTIONS</t>
  </si>
  <si>
    <t>OVER 21 YEARS</t>
  </si>
  <si>
    <t>STATE REQUIREMENT</t>
  </si>
  <si>
    <t>LEGAL STATUES IN USA</t>
  </si>
  <si>
    <t>DRIVER LICENE OVER 6 MONTH</t>
  </si>
  <si>
    <t>DHS REQUIREMENT</t>
  </si>
  <si>
    <t>ODOT MEDICAL CARD OVER (AT LEAST 6 MONTH EXP)</t>
  </si>
  <si>
    <t>ADD IT TO NET STUDY FOR BACKGROUND CHECK</t>
  </si>
  <si>
    <t>HAS A CAR (CHECK THE CAR AND MAKE SURE ITS CLEAN AND FULL OPERATE</t>
  </si>
  <si>
    <t>COMPANY REQUIREMENT</t>
  </si>
  <si>
    <t>HAS SMART PHONE (HAS KNOWDLEGE TO USE IT)</t>
  </si>
  <si>
    <t>HAS A SAFTY BOX(SHOW THE DRIVER ALL THE REQUOERMENT EQUPMENTS)</t>
  </si>
  <si>
    <t>FILL THE DRIVER ANS INDEPENDET CONTRACTER APPLICATION(1099)</t>
  </si>
  <si>
    <r>
      <rPr>
        <sz val="11"/>
        <color rgb="FF000000"/>
        <rFont val="Calibri"/>
        <scheme val="minor"/>
      </rPr>
      <t xml:space="preserve">SCHADULA STS INSPECTION  AT 1912 East 66th Street
Richfield, MN 55423 </t>
    </r>
    <r>
      <rPr>
        <sz val="11"/>
        <color rgb="FF00B0F0"/>
        <rFont val="Calibri"/>
        <scheme val="minor"/>
      </rPr>
      <t>(https://outlook.office365.com/book/inspections@mn365.onmicrosoft.com/?ismsaljsauthenabled=true)</t>
    </r>
  </si>
  <si>
    <t>WE PAY $1 PER MILE $10 PICK UP</t>
  </si>
  <si>
    <t>$1.50-$15</t>
  </si>
  <si>
    <t>WHEN PASSED SET THE ALLTRANS ACOUNT AND HELP THEM TO LOGIN</t>
  </si>
  <si>
    <t>PREPARE THE DRIVER FILE</t>
  </si>
  <si>
    <t xml:space="preserve">DRIVER NEED TO AS ON THEIR INSURANCE AS A RIDE SHARE COMPANY </t>
  </si>
  <si>
    <t>DRIVER NEED TO PURCHES A COMERSAL LIBLITY INSURANS FOR THIER OWN  AND KEEP A COPY IN THIER FILE</t>
  </si>
  <si>
    <t xml:space="preserve">MAKE A DRIVER FILE WITH ALL THE DOCOMENTS THEY ARE GOING TO PROVIDE AND KEEP IT ARCHIVE </t>
  </si>
  <si>
    <r>
      <rPr>
        <sz val="11"/>
        <color rgb="FF000000"/>
        <rFont val="Calibri"/>
        <scheme val="minor"/>
      </rPr>
      <t>DRIVER MUST SEND US ALL THE MAINTENANCE AND DAILY INSPECTION SHEET(</t>
    </r>
    <r>
      <rPr>
        <sz val="11"/>
        <color rgb="FFFF0000"/>
        <rFont val="Calibri"/>
        <scheme val="minor"/>
      </rPr>
      <t>MUST ARCHIVE IT FOR 3 YEARS</t>
    </r>
    <r>
      <rPr>
        <sz val="11"/>
        <color rgb="FF000000"/>
        <rFont val="Calibri"/>
        <scheme val="minor"/>
      </rPr>
      <t>)</t>
    </r>
  </si>
  <si>
    <t>FUTURE TRANSPORTATION LLC</t>
  </si>
  <si>
    <t>SERVECES</t>
  </si>
  <si>
    <t>TEAM</t>
  </si>
  <si>
    <t>FUTRANS25@GMAIL.COM</t>
  </si>
  <si>
    <t>151 SILVER LAKE RD NM UNIT #5 SAINT PAUL 55112</t>
  </si>
  <si>
    <t>612-888-9966</t>
  </si>
  <si>
    <t>NEMT-WAIVER</t>
  </si>
  <si>
    <t>OMAR MUBARAK- CEO PROGRAM COORDINATOR</t>
  </si>
  <si>
    <t>Sooyaan#1970</t>
  </si>
  <si>
    <t xml:space="preserve">HUBI ALI - OFFICE &amp; STAFF MANEGER  </t>
  </si>
  <si>
    <t>FUTRANS.US</t>
  </si>
  <si>
    <t>RODA  ALI - DISPATCHER</t>
  </si>
  <si>
    <t>NPI# 1144114265</t>
  </si>
  <si>
    <t>YASSIN ELMI - DISPATCHER</t>
  </si>
  <si>
    <t>MNDOT# 385362</t>
  </si>
  <si>
    <t>USDOT# 4330214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</si>
</sst>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5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 Narrow"/>
      <family val="2"/>
    </font>
    <font>
      <sz val="11"/>
      <color theme="1"/>
      <name val="Bahnschrift Light"/>
      <family val="2"/>
    </font>
    <font>
      <sz val="12"/>
      <color theme="1"/>
      <name val="Bahnschrift Light"/>
      <family val="2"/>
    </font>
    <font>
      <sz val="11"/>
      <color rgb="FF000000"/>
      <name val="Bahnschrift Light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 Light"/>
      <family val="2"/>
    </font>
    <font>
      <b/>
      <sz val="12"/>
      <color theme="1"/>
      <name val="Calibri Light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Bahnschrift Condensed"/>
      <family val="2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gency FB"/>
      <family val="2"/>
    </font>
    <font>
      <i/>
      <sz val="14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FangSong"/>
    </font>
    <font>
      <b/>
      <sz val="11"/>
      <color rgb="FF000000"/>
      <name val="Arial"/>
    </font>
    <font>
      <b/>
      <u/>
      <sz val="11"/>
      <color theme="5" tint="0.39997558519241921"/>
      <name val="Arial"/>
    </font>
    <font>
      <b/>
      <sz val="24"/>
      <color theme="1"/>
      <name val="Calibri"/>
      <family val="2"/>
      <scheme val="minor"/>
    </font>
    <font>
      <b/>
      <sz val="24"/>
      <color theme="1"/>
      <name val="FangSong"/>
    </font>
    <font>
      <b/>
      <sz val="11"/>
      <color theme="5" tint="0.39997558519241921"/>
      <name val="Arial"/>
    </font>
    <font>
      <b/>
      <sz val="14"/>
      <color theme="1"/>
      <name val="Arial"/>
    </font>
    <font>
      <b/>
      <sz val="20"/>
      <color theme="1"/>
      <name val="Aptos Narrow"/>
    </font>
    <font>
      <b/>
      <sz val="18"/>
      <color theme="1"/>
      <name val="Aptos Narrow"/>
    </font>
    <font>
      <sz val="11"/>
      <color rgb="FF000000"/>
      <name val="Calibri"/>
      <scheme val="minor"/>
    </font>
    <font>
      <sz val="11"/>
      <color rgb="FF00B0F0"/>
      <name val="Calibri"/>
      <scheme val="minor"/>
    </font>
    <font>
      <sz val="11"/>
      <color rgb="FF000000"/>
      <name val="Calibri"/>
      <charset val="1"/>
    </font>
    <font>
      <b/>
      <sz val="12"/>
      <color theme="1"/>
      <name val="Arial"/>
    </font>
    <font>
      <sz val="11"/>
      <color theme="1"/>
      <name val="Arial"/>
    </font>
    <font>
      <b/>
      <sz val="14"/>
      <color rgb="FFFF0000"/>
      <name val="Calibri"/>
      <family val="2"/>
      <scheme val="minor"/>
    </font>
    <font>
      <sz val="12"/>
      <color rgb="FF000000"/>
      <name val="Arial"/>
      <charset val="1"/>
    </font>
    <font>
      <b/>
      <sz val="12"/>
      <color theme="1"/>
      <name val="Bahnschrift Condensed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sz val="12"/>
      <color rgb="FF683026"/>
      <name val="Aptos"/>
      <family val="2"/>
      <charset val="1"/>
    </font>
    <font>
      <sz val="12"/>
      <color theme="1"/>
      <name val="Aptos"/>
      <family val="2"/>
      <charset val="1"/>
    </font>
    <font>
      <vertAlign val="superscript"/>
      <sz val="12"/>
      <color theme="1"/>
      <name val="Aptos"/>
      <family val="2"/>
      <charset val="1"/>
    </font>
    <font>
      <b/>
      <sz val="14"/>
      <color theme="1"/>
      <name val="Aptos"/>
      <family val="2"/>
      <charset val="1"/>
    </font>
    <font>
      <sz val="14"/>
      <color theme="1"/>
      <name val="Aptos"/>
      <family val="2"/>
      <charset val="1"/>
    </font>
    <font>
      <b/>
      <sz val="36"/>
      <color rgb="FF000000"/>
      <name val="Agency FB"/>
      <family val="2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6"/>
      <color rgb="FFFF0000"/>
      <name val="Calibri Light"/>
      <family val="2"/>
    </font>
    <font>
      <sz val="12"/>
      <color rgb="FF034EA1"/>
      <name val="Arial"/>
      <charset val="1"/>
    </font>
    <font>
      <sz val="11"/>
      <color rgb="FF0A1551"/>
      <name val="Helvetica"/>
      <family val="2"/>
      <charset val="1"/>
    </font>
    <font>
      <sz val="12"/>
      <color rgb="FF222222"/>
      <name val="Arial"/>
      <family val="2"/>
      <charset val="1"/>
    </font>
    <font>
      <b/>
      <sz val="12"/>
      <color rgb="FF222222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42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146">
    <xf numFmtId="0" fontId="0" fillId="0" borderId="0" xfId="0"/>
    <xf numFmtId="49" fontId="0" fillId="2" borderId="0" xfId="0" applyNumberForma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/>
    <xf numFmtId="0" fontId="14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64" fontId="21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4" fontId="21" fillId="0" borderId="3" xfId="0" applyNumberFormat="1" applyFont="1" applyBorder="1" applyAlignment="1">
      <alignment horizontal="center" vertical="center" wrapText="1"/>
    </xf>
    <xf numFmtId="0" fontId="0" fillId="0" borderId="11" xfId="0" applyBorder="1"/>
    <xf numFmtId="0" fontId="25" fillId="0" borderId="11" xfId="0" applyFont="1" applyBorder="1"/>
    <xf numFmtId="0" fontId="26" fillId="0" borderId="11" xfId="0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11" xfId="0" applyFont="1" applyBorder="1" applyAlignment="1">
      <alignment horizontal="center"/>
    </xf>
    <xf numFmtId="0" fontId="0" fillId="0" borderId="12" xfId="0" applyBorder="1"/>
    <xf numFmtId="0" fontId="37" fillId="0" borderId="11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24" fillId="0" borderId="11" xfId="5" applyBorder="1" applyAlignment="1">
      <alignment horizontal="center"/>
    </xf>
    <xf numFmtId="14" fontId="38" fillId="0" borderId="11" xfId="0" applyNumberFormat="1" applyFont="1" applyBorder="1" applyAlignment="1">
      <alignment horizontal="center"/>
    </xf>
    <xf numFmtId="0" fontId="39" fillId="0" borderId="11" xfId="0" applyFont="1" applyBorder="1"/>
    <xf numFmtId="0" fontId="36" fillId="0" borderId="11" xfId="0" applyFont="1" applyBorder="1"/>
    <xf numFmtId="0" fontId="0" fillId="0" borderId="14" xfId="0" applyBorder="1"/>
    <xf numFmtId="164" fontId="4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9" fontId="0" fillId="2" borderId="11" xfId="0" applyNumberFormat="1" applyFill="1" applyBorder="1" applyAlignment="1">
      <alignment horizontal="center"/>
    </xf>
    <xf numFmtId="49" fontId="0" fillId="2" borderId="11" xfId="0" applyNumberFormat="1" applyFill="1" applyBorder="1"/>
    <xf numFmtId="0" fontId="0" fillId="0" borderId="11" xfId="0" applyBorder="1" applyAlignment="1">
      <alignment horizontal="center"/>
    </xf>
    <xf numFmtId="0" fontId="7" fillId="0" borderId="11" xfId="0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2" fontId="7" fillId="0" borderId="11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14" fontId="8" fillId="0" borderId="1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9" borderId="11" xfId="0" applyFont="1" applyFill="1" applyBorder="1" applyAlignment="1">
      <alignment horizontal="center" wrapText="1"/>
    </xf>
    <xf numFmtId="0" fontId="10" fillId="0" borderId="11" xfId="0" applyFont="1" applyBorder="1"/>
    <xf numFmtId="0" fontId="42" fillId="0" borderId="11" xfId="0" applyFont="1" applyBorder="1"/>
    <xf numFmtId="0" fontId="6" fillId="0" borderId="11" xfId="0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14" fontId="6" fillId="0" borderId="11" xfId="0" applyNumberFormat="1" applyFont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14" fontId="42" fillId="0" borderId="11" xfId="0" applyNumberFormat="1" applyFont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42" fillId="0" borderId="0" xfId="0" applyFont="1"/>
    <xf numFmtId="0" fontId="40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6" fontId="0" fillId="0" borderId="0" xfId="0" applyNumberFormat="1"/>
    <xf numFmtId="14" fontId="37" fillId="0" borderId="1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45" fillId="0" borderId="11" xfId="0" applyFont="1" applyBorder="1" applyAlignment="1">
      <alignment horizontal="center"/>
    </xf>
    <xf numFmtId="0" fontId="45" fillId="0" borderId="11" xfId="0" applyNumberFormat="1" applyFont="1" applyBorder="1" applyAlignment="1">
      <alignment horizontal="center"/>
    </xf>
    <xf numFmtId="164" fontId="45" fillId="0" borderId="11" xfId="0" applyNumberFormat="1" applyFont="1" applyBorder="1" applyAlignment="1">
      <alignment horizontal="center"/>
    </xf>
    <xf numFmtId="14" fontId="45" fillId="0" borderId="11" xfId="0" applyNumberFormat="1" applyFont="1" applyBorder="1" applyAlignment="1">
      <alignment horizontal="center"/>
    </xf>
    <xf numFmtId="0" fontId="47" fillId="15" borderId="8" xfId="0" applyFont="1" applyFill="1" applyBorder="1" applyAlignment="1">
      <alignment horizontal="center"/>
    </xf>
    <xf numFmtId="0" fontId="47" fillId="15" borderId="8" xfId="0" applyNumberFormat="1" applyFont="1" applyFill="1" applyBorder="1" applyAlignment="1">
      <alignment horizontal="center"/>
    </xf>
    <xf numFmtId="164" fontId="47" fillId="15" borderId="8" xfId="0" applyNumberFormat="1" applyFont="1" applyFill="1" applyBorder="1" applyAlignment="1">
      <alignment horizontal="center"/>
    </xf>
    <xf numFmtId="14" fontId="48" fillId="15" borderId="8" xfId="0" applyNumberFormat="1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 wrapText="1"/>
    </xf>
    <xf numFmtId="6" fontId="13" fillId="0" borderId="0" xfId="0" applyNumberFormat="1" applyFont="1" applyBorder="1" applyAlignment="1">
      <alignment horizontal="center" vertical="center" wrapText="1"/>
    </xf>
    <xf numFmtId="8" fontId="13" fillId="0" borderId="0" xfId="0" applyNumberFormat="1" applyFont="1" applyBorder="1" applyAlignment="1">
      <alignment horizontal="center" vertical="center" wrapText="1"/>
    </xf>
    <xf numFmtId="2" fontId="13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1" fillId="16" borderId="3" xfId="1" applyFont="1" applyFill="1" applyBorder="1" applyAlignment="1">
      <alignment horizontal="center" vertical="center" wrapText="1"/>
    </xf>
    <xf numFmtId="0" fontId="51" fillId="16" borderId="4" xfId="1" applyFont="1" applyFill="1" applyBorder="1" applyAlignment="1">
      <alignment horizontal="center" vertical="center" wrapText="1"/>
    </xf>
    <xf numFmtId="2" fontId="51" fillId="16" borderId="4" xfId="1" applyNumberFormat="1" applyFont="1" applyFill="1" applyBorder="1" applyAlignment="1">
      <alignment horizontal="center" vertical="center" wrapText="1"/>
    </xf>
    <xf numFmtId="0" fontId="51" fillId="16" borderId="5" xfId="1" applyFont="1" applyFill="1" applyBorder="1" applyAlignment="1">
      <alignment horizontal="center" vertical="center" wrapText="1"/>
    </xf>
    <xf numFmtId="0" fontId="51" fillId="16" borderId="1" xfId="1" applyFont="1" applyFill="1" applyBorder="1" applyAlignment="1">
      <alignment horizontal="center"/>
    </xf>
    <xf numFmtId="6" fontId="52" fillId="0" borderId="3" xfId="0" applyNumberFormat="1" applyFont="1" applyBorder="1" applyAlignment="1">
      <alignment horizontal="center" vertical="center" wrapText="1"/>
    </xf>
    <xf numFmtId="8" fontId="52" fillId="0" borderId="4" xfId="0" applyNumberFormat="1" applyFont="1" applyBorder="1" applyAlignment="1">
      <alignment horizontal="center" vertical="center" wrapText="1"/>
    </xf>
    <xf numFmtId="2" fontId="52" fillId="0" borderId="4" xfId="0" applyNumberFormat="1" applyFont="1" applyBorder="1" applyAlignment="1">
      <alignment horizontal="center" vertical="center" wrapText="1"/>
    </xf>
    <xf numFmtId="6" fontId="52" fillId="0" borderId="6" xfId="0" applyNumberFormat="1" applyFont="1" applyBorder="1" applyAlignment="1">
      <alignment horizontal="center" vertical="center" wrapText="1"/>
    </xf>
    <xf numFmtId="6" fontId="52" fillId="0" borderId="7" xfId="0" applyNumberFormat="1" applyFont="1" applyBorder="1" applyAlignment="1">
      <alignment horizontal="center" vertical="center" wrapText="1"/>
    </xf>
    <xf numFmtId="8" fontId="52" fillId="0" borderId="7" xfId="0" applyNumberFormat="1" applyFont="1" applyBorder="1" applyAlignment="1">
      <alignment horizontal="center" vertical="center" wrapText="1"/>
    </xf>
    <xf numFmtId="2" fontId="52" fillId="0" borderId="7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/>
    </xf>
    <xf numFmtId="14" fontId="26" fillId="0" borderId="14" xfId="0" applyNumberFormat="1" applyFont="1" applyBorder="1" applyAlignment="1">
      <alignment horizontal="center"/>
    </xf>
    <xf numFmtId="0" fontId="25" fillId="0" borderId="14" xfId="0" applyFont="1" applyBorder="1"/>
    <xf numFmtId="14" fontId="38" fillId="0" borderId="16" xfId="0" applyNumberFormat="1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164" fontId="15" fillId="0" borderId="18" xfId="0" applyNumberFormat="1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wrapText="1"/>
    </xf>
    <xf numFmtId="0" fontId="0" fillId="17" borderId="0" xfId="0" applyFill="1"/>
    <xf numFmtId="0" fontId="0" fillId="0" borderId="0" xfId="0" applyAlignment="1">
      <alignment horizontal="center"/>
    </xf>
    <xf numFmtId="0" fontId="45" fillId="18" borderId="11" xfId="0" applyFont="1" applyFill="1" applyBorder="1" applyAlignment="1">
      <alignment horizontal="center"/>
    </xf>
    <xf numFmtId="164" fontId="45" fillId="18" borderId="11" xfId="0" applyNumberFormat="1" applyFont="1" applyFill="1" applyBorder="1" applyAlignment="1">
      <alignment horizontal="center"/>
    </xf>
    <xf numFmtId="14" fontId="45" fillId="18" borderId="11" xfId="0" applyNumberFormat="1" applyFont="1" applyFill="1" applyBorder="1" applyAlignment="1">
      <alignment horizontal="center"/>
    </xf>
    <xf numFmtId="0" fontId="24" fillId="19" borderId="11" xfId="5" applyFill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16" borderId="11" xfId="0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0" fillId="4" borderId="11" xfId="2" applyFont="1" applyBorder="1" applyAlignment="1">
      <alignment horizontal="center"/>
    </xf>
    <xf numFmtId="0" fontId="19" fillId="6" borderId="0" xfId="4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15" borderId="0" xfId="0" applyNumberFormat="1" applyFill="1" applyAlignment="1">
      <alignment horizontal="center"/>
    </xf>
    <xf numFmtId="0" fontId="32" fillId="12" borderId="16" xfId="0" applyFont="1" applyFill="1" applyBorder="1" applyAlignment="1">
      <alignment horizontal="center" wrapText="1"/>
    </xf>
    <xf numFmtId="0" fontId="32" fillId="12" borderId="17" xfId="0" applyFont="1" applyFill="1" applyBorder="1" applyAlignment="1">
      <alignment horizontal="center" wrapText="1"/>
    </xf>
    <xf numFmtId="0" fontId="32" fillId="12" borderId="14" xfId="0" applyFont="1" applyFill="1" applyBorder="1" applyAlignment="1">
      <alignment horizontal="center" wrapText="1"/>
    </xf>
    <xf numFmtId="0" fontId="28" fillId="13" borderId="13" xfId="0" applyFont="1" applyFill="1" applyBorder="1" applyAlignment="1">
      <alignment horizontal="center"/>
    </xf>
    <xf numFmtId="0" fontId="49" fillId="15" borderId="0" xfId="0" applyFont="1" applyFill="1" applyAlignment="1"/>
    <xf numFmtId="0" fontId="50" fillId="15" borderId="0" xfId="0" applyFont="1" applyFill="1" applyAlignment="1"/>
    <xf numFmtId="0" fontId="16" fillId="7" borderId="0" xfId="1" applyFont="1" applyFill="1" applyAlignment="1"/>
    <xf numFmtId="0" fontId="18" fillId="5" borderId="0" xfId="3" applyFont="1" applyAlignment="1">
      <alignment horizontal="center"/>
    </xf>
    <xf numFmtId="0" fontId="33" fillId="8" borderId="0" xfId="0" applyFont="1" applyFill="1" applyAlignment="1">
      <alignment horizontal="center"/>
    </xf>
    <xf numFmtId="0" fontId="29" fillId="14" borderId="0" xfId="0" applyFont="1" applyFill="1" applyAlignment="1">
      <alignment horizontal="center" vertical="center"/>
    </xf>
    <xf numFmtId="0" fontId="1" fillId="0" borderId="15" xfId="0" applyFont="1" applyBorder="1" applyAlignment="1">
      <alignment wrapText="1"/>
    </xf>
    <xf numFmtId="0" fontId="1" fillId="0" borderId="11" xfId="0" applyFont="1" applyBorder="1"/>
  </cellXfs>
  <cellStyles count="6">
    <cellStyle name="40% - Accent5" xfId="3" builtinId="47"/>
    <cellStyle name="60% - Accent6" xfId="4" builtinId="52"/>
    <cellStyle name="Bad" xfId="1" builtinId="27"/>
    <cellStyle name="Hyperlink" xfId="5" builtinId="8"/>
    <cellStyle name="Neutral" xfId="2" builtinId="28"/>
    <cellStyle name="Normal" xfId="0" builtinId="0"/>
  </cellStyles>
  <dxfs count="3">
    <dxf>
      <font>
        <color theme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7"/>
      <color rgb="FFF76A0C"/>
      <color rgb="FFFC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bony.forslund@accord.org" TargetMode="External"/><Relationship Id="rId3" Type="http://schemas.openxmlformats.org/officeDocument/2006/relationships/hyperlink" Target="mailto:melissa.langewisch@nystromcounseling.com" TargetMode="External"/><Relationship Id="rId7" Type="http://schemas.openxmlformats.org/officeDocument/2006/relationships/hyperlink" Target="mailto:ubah.abdiwali@gmail.com" TargetMode="External"/><Relationship Id="rId2" Type="http://schemas.openxmlformats.org/officeDocument/2006/relationships/hyperlink" Target="mailto:mberry@redeemerservices.com" TargetMode="External"/><Relationship Id="rId1" Type="http://schemas.openxmlformats.org/officeDocument/2006/relationships/hyperlink" Target="mailto:%7CSarah.Shafer@fraser.org" TargetMode="External"/><Relationship Id="rId6" Type="http://schemas.openxmlformats.org/officeDocument/2006/relationships/hyperlink" Target="mailto:Transportation@fraser.org" TargetMode="External"/><Relationship Id="rId5" Type="http://schemas.openxmlformats.org/officeDocument/2006/relationships/hyperlink" Target="mailto:melissa.langewisch@nystromcounseling.com" TargetMode="External"/><Relationship Id="rId4" Type="http://schemas.openxmlformats.org/officeDocument/2006/relationships/hyperlink" Target="mailto:tynique.lyon@agatemn.org" TargetMode="External"/><Relationship Id="rId9" Type="http://schemas.openxmlformats.org/officeDocument/2006/relationships/hyperlink" Target="http://accord.org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BDUFETAHKHALF@GMAIL.COM" TargetMode="External"/><Relationship Id="rId1" Type="http://schemas.openxmlformats.org/officeDocument/2006/relationships/hyperlink" Target="mailto:BAQALLAAB2010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FUTRANS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U40"/>
  <sheetViews>
    <sheetView topLeftCell="D4" workbookViewId="0">
      <selection activeCell="E7" sqref="E7"/>
    </sheetView>
  </sheetViews>
  <sheetFormatPr defaultRowHeight="15"/>
  <cols>
    <col min="1" max="1" width="18.5703125" customWidth="1"/>
    <col min="3" max="3" width="32" style="42" customWidth="1"/>
    <col min="4" max="4" width="19" style="63" customWidth="1"/>
    <col min="5" max="5" width="22.5703125" style="42" customWidth="1"/>
    <col min="6" max="6" width="44.7109375" style="42" bestFit="1" customWidth="1"/>
    <col min="7" max="7" width="18" style="42" bestFit="1" customWidth="1"/>
    <col min="8" max="8" width="18" style="42" customWidth="1"/>
    <col min="9" max="9" width="18.42578125" style="42" bestFit="1" customWidth="1"/>
    <col min="10" max="10" width="24.140625" style="64" bestFit="1" customWidth="1"/>
    <col min="11" max="11" width="20.85546875" style="22" bestFit="1" customWidth="1"/>
    <col min="12" max="12" width="30.5703125" style="22" customWidth="1"/>
    <col min="13" max="13" width="22" style="22" bestFit="1" customWidth="1"/>
    <col min="14" max="14" width="36" style="22" customWidth="1"/>
    <col min="15" max="15" width="19.42578125" style="22" customWidth="1"/>
    <col min="16" max="16" width="37.140625" style="22" customWidth="1"/>
    <col min="17" max="17" width="146.42578125" style="22" bestFit="1" customWidth="1"/>
    <col min="18" max="20" width="9.140625" style="22"/>
  </cols>
  <sheetData>
    <row r="1" spans="3:20" s="1" customFormat="1">
      <c r="C1" s="40"/>
      <c r="D1" s="65"/>
      <c r="E1" s="40"/>
      <c r="F1" s="40"/>
      <c r="G1" s="40"/>
      <c r="H1" s="40"/>
      <c r="I1" s="40"/>
      <c r="J1" s="67"/>
      <c r="K1" s="41"/>
      <c r="L1" s="41"/>
      <c r="M1" s="41"/>
      <c r="N1" s="41"/>
      <c r="O1" s="41"/>
      <c r="P1" s="41"/>
      <c r="Q1" s="41"/>
      <c r="R1" s="41"/>
      <c r="S1" s="41"/>
      <c r="T1" s="41"/>
    </row>
    <row r="4" spans="3:20" ht="87.75">
      <c r="C4" s="129" t="s">
        <v>0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</row>
    <row r="5" spans="3:20" s="4" customFormat="1" ht="30" customHeight="1">
      <c r="C5" s="43" t="s">
        <v>1</v>
      </c>
      <c r="D5" s="44" t="s">
        <v>2</v>
      </c>
      <c r="E5" s="45" t="s">
        <v>3</v>
      </c>
      <c r="F5" s="43" t="s">
        <v>4</v>
      </c>
      <c r="G5" s="43" t="s">
        <v>5</v>
      </c>
      <c r="H5" s="43" t="s">
        <v>6</v>
      </c>
      <c r="I5" s="43" t="s">
        <v>7</v>
      </c>
      <c r="J5" s="46" t="s">
        <v>8</v>
      </c>
      <c r="K5" s="43" t="s">
        <v>9</v>
      </c>
      <c r="L5" s="43" t="s">
        <v>10</v>
      </c>
      <c r="M5" s="45" t="s">
        <v>11</v>
      </c>
      <c r="N5" s="43" t="s">
        <v>12</v>
      </c>
      <c r="O5" s="43" t="s">
        <v>13</v>
      </c>
      <c r="P5" s="43" t="s">
        <v>14</v>
      </c>
      <c r="Q5" s="43" t="s">
        <v>15</v>
      </c>
      <c r="R5" s="47"/>
      <c r="S5" s="47"/>
      <c r="T5" s="47"/>
    </row>
    <row r="6" spans="3:20" s="7" customFormat="1" ht="21" customHeight="1">
      <c r="C6" s="48" t="s">
        <v>16</v>
      </c>
      <c r="D6" s="49">
        <v>21325</v>
      </c>
      <c r="E6" s="50" t="s">
        <v>17</v>
      </c>
      <c r="F6" s="50" t="s">
        <v>18</v>
      </c>
      <c r="G6" s="51" t="s">
        <v>19</v>
      </c>
      <c r="H6" s="51" t="s">
        <v>20</v>
      </c>
      <c r="I6" s="52" t="s">
        <v>21</v>
      </c>
      <c r="J6" s="53">
        <v>500</v>
      </c>
      <c r="K6" s="54" t="s">
        <v>22</v>
      </c>
      <c r="L6" s="55" t="s">
        <v>23</v>
      </c>
      <c r="M6" s="54">
        <v>3202530765</v>
      </c>
      <c r="N6" s="56" t="s">
        <v>24</v>
      </c>
      <c r="O6" s="51" t="s">
        <v>25</v>
      </c>
      <c r="P6" s="49">
        <v>46340</v>
      </c>
      <c r="Q6" s="57"/>
      <c r="R6" s="51"/>
      <c r="S6" s="51"/>
      <c r="T6" s="51"/>
    </row>
    <row r="7" spans="3:20" s="6" customFormat="1" ht="21" customHeight="1">
      <c r="C7" s="48" t="s">
        <v>26</v>
      </c>
      <c r="D7" s="66">
        <v>23636</v>
      </c>
      <c r="E7" s="48" t="s">
        <v>27</v>
      </c>
      <c r="F7" s="48" t="s">
        <v>28</v>
      </c>
      <c r="G7" s="58" t="s">
        <v>19</v>
      </c>
      <c r="H7" s="58" t="s">
        <v>20</v>
      </c>
      <c r="I7" s="58" t="s">
        <v>21</v>
      </c>
      <c r="J7" s="59">
        <v>1500</v>
      </c>
      <c r="K7" s="58" t="s">
        <v>22</v>
      </c>
      <c r="L7" s="60" t="s">
        <v>23</v>
      </c>
      <c r="M7" s="54">
        <v>3202530765</v>
      </c>
      <c r="N7" s="56" t="s">
        <v>24</v>
      </c>
      <c r="O7" s="58" t="s">
        <v>25</v>
      </c>
      <c r="P7" s="61">
        <v>45994</v>
      </c>
      <c r="Q7" s="57" t="s">
        <v>29</v>
      </c>
      <c r="R7" s="58"/>
      <c r="S7" s="58"/>
      <c r="T7" s="58"/>
    </row>
    <row r="8" spans="3:20" s="6" customFormat="1" ht="21" customHeight="1">
      <c r="C8" s="58"/>
      <c r="D8" s="61"/>
      <c r="E8" s="58"/>
      <c r="F8" s="58"/>
      <c r="G8" s="58"/>
      <c r="H8" s="58"/>
      <c r="I8" s="58"/>
      <c r="J8" s="59"/>
      <c r="K8" s="58"/>
      <c r="L8" s="62" t="s">
        <v>30</v>
      </c>
      <c r="M8" s="58"/>
      <c r="N8" s="58"/>
      <c r="O8" s="58"/>
      <c r="P8" s="58"/>
      <c r="Q8" s="58"/>
      <c r="R8" s="58"/>
      <c r="S8" s="58"/>
      <c r="T8" s="58"/>
    </row>
    <row r="9" spans="3:20" s="6" customFormat="1" ht="21" customHeight="1">
      <c r="C9" s="58"/>
      <c r="D9" s="61"/>
      <c r="E9" s="58"/>
      <c r="F9" s="58"/>
      <c r="G9" s="58"/>
      <c r="H9" s="58"/>
      <c r="I9" s="58"/>
      <c r="J9" s="59"/>
      <c r="K9" s="58"/>
      <c r="L9" s="58"/>
      <c r="M9" s="58"/>
      <c r="N9" s="58"/>
      <c r="O9" s="58"/>
      <c r="P9" s="58"/>
      <c r="Q9" s="58"/>
      <c r="R9" s="58"/>
      <c r="S9" s="58"/>
      <c r="T9" s="58"/>
    </row>
    <row r="10" spans="3:20" s="6" customFormat="1" ht="21" customHeight="1">
      <c r="C10" s="58"/>
      <c r="D10" s="61"/>
      <c r="E10" s="58"/>
      <c r="F10" s="58"/>
      <c r="G10" s="58"/>
      <c r="H10" s="58"/>
      <c r="I10" s="58"/>
      <c r="J10" s="59"/>
      <c r="K10" s="58"/>
      <c r="L10" s="58"/>
      <c r="M10" s="58"/>
      <c r="N10" s="58"/>
      <c r="O10" s="58"/>
      <c r="P10" s="58"/>
      <c r="Q10" s="58"/>
      <c r="R10" s="58"/>
      <c r="S10" s="58"/>
      <c r="T10" s="58"/>
    </row>
    <row r="11" spans="3:20" s="6" customFormat="1" ht="21" customHeight="1">
      <c r="C11" s="58"/>
      <c r="D11" s="61"/>
      <c r="E11" s="58"/>
      <c r="F11" s="58"/>
      <c r="G11" s="58"/>
      <c r="H11" s="58"/>
      <c r="I11" s="58"/>
      <c r="J11" s="59"/>
      <c r="K11" s="58"/>
      <c r="L11" s="58"/>
      <c r="M11" s="58"/>
      <c r="N11" s="58"/>
      <c r="O11" s="58"/>
      <c r="P11" s="58"/>
      <c r="Q11" s="58"/>
      <c r="R11" s="58"/>
      <c r="S11" s="58"/>
      <c r="T11" s="58"/>
    </row>
    <row r="12" spans="3:20" s="6" customFormat="1" ht="21" customHeight="1">
      <c r="C12" s="58"/>
      <c r="D12" s="61"/>
      <c r="E12" s="58"/>
      <c r="F12" s="58"/>
      <c r="G12" s="58"/>
      <c r="H12" s="58"/>
      <c r="I12" s="58"/>
      <c r="J12" s="59"/>
      <c r="K12" s="58"/>
      <c r="L12" s="58"/>
      <c r="M12" s="58"/>
      <c r="N12" s="58"/>
      <c r="O12" s="58"/>
      <c r="P12" s="58"/>
      <c r="Q12" s="58"/>
      <c r="R12" s="58"/>
      <c r="S12" s="58"/>
      <c r="T12" s="58"/>
    </row>
    <row r="13" spans="3:20" s="6" customFormat="1" ht="21" customHeight="1">
      <c r="C13" s="58"/>
      <c r="D13" s="61"/>
      <c r="E13" s="58"/>
      <c r="F13" s="58"/>
      <c r="G13" s="58"/>
      <c r="H13" s="58"/>
      <c r="I13" s="58"/>
      <c r="J13" s="59"/>
      <c r="K13" s="58"/>
      <c r="L13" s="58"/>
      <c r="M13" s="58"/>
      <c r="N13" s="58"/>
      <c r="O13" s="58"/>
      <c r="P13" s="58"/>
      <c r="Q13" s="58"/>
      <c r="R13" s="58"/>
      <c r="S13" s="58"/>
      <c r="T13" s="58"/>
    </row>
    <row r="14" spans="3:20" s="6" customFormat="1" ht="21" customHeight="1">
      <c r="C14" s="58"/>
      <c r="D14" s="61"/>
      <c r="E14" s="58"/>
      <c r="F14" s="58"/>
      <c r="G14" s="58"/>
      <c r="H14" s="58"/>
      <c r="I14" s="58"/>
      <c r="J14" s="59"/>
      <c r="K14" s="58"/>
      <c r="L14" s="58"/>
      <c r="M14" s="58"/>
      <c r="N14" s="58"/>
      <c r="O14" s="58"/>
      <c r="P14" s="58"/>
      <c r="Q14" s="58"/>
      <c r="R14" s="58"/>
      <c r="S14" s="58"/>
      <c r="T14" s="58"/>
    </row>
    <row r="15" spans="3:20" s="6" customFormat="1" ht="21" customHeight="1">
      <c r="C15" s="58"/>
      <c r="D15" s="61"/>
      <c r="E15" s="58"/>
      <c r="F15" s="58"/>
      <c r="G15" s="58"/>
      <c r="H15" s="58"/>
      <c r="I15" s="58"/>
      <c r="J15" s="59"/>
      <c r="K15" s="58"/>
      <c r="L15" s="58"/>
      <c r="M15" s="58"/>
      <c r="N15" s="58"/>
      <c r="O15" s="58"/>
      <c r="P15" s="58"/>
      <c r="Q15" s="58"/>
      <c r="R15" s="58"/>
      <c r="S15" s="58"/>
      <c r="T15" s="58"/>
    </row>
    <row r="16" spans="3:20" s="6" customFormat="1" ht="21" customHeight="1">
      <c r="C16" s="58"/>
      <c r="D16" s="61"/>
      <c r="E16" s="58"/>
      <c r="F16" s="58"/>
      <c r="G16" s="58"/>
      <c r="H16" s="58"/>
      <c r="I16" s="58"/>
      <c r="J16" s="59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2:21" s="6" customFormat="1" ht="21" customHeight="1">
      <c r="C17" s="58"/>
      <c r="D17" s="61"/>
      <c r="E17" s="58"/>
      <c r="F17" s="58"/>
      <c r="G17" s="58"/>
      <c r="H17" s="58"/>
      <c r="I17" s="58"/>
      <c r="J17" s="59"/>
      <c r="K17" s="58"/>
      <c r="L17" s="58"/>
      <c r="M17" s="58"/>
      <c r="N17" s="58"/>
      <c r="O17" s="58"/>
      <c r="P17" s="58"/>
      <c r="Q17" s="58"/>
      <c r="R17" s="58"/>
      <c r="S17" s="58"/>
      <c r="T17" s="58"/>
    </row>
    <row r="18" spans="2:21" s="6" customFormat="1" ht="21" customHeight="1">
      <c r="C18" s="58"/>
      <c r="D18" s="61"/>
      <c r="E18" s="58"/>
      <c r="F18" s="58"/>
      <c r="G18" s="58"/>
      <c r="H18" s="58"/>
      <c r="I18" s="58"/>
      <c r="J18" s="59"/>
      <c r="K18" s="58"/>
      <c r="L18" s="58"/>
      <c r="M18" s="58"/>
      <c r="N18" s="58"/>
      <c r="O18" s="58"/>
      <c r="P18" s="58"/>
      <c r="Q18" s="58"/>
      <c r="R18" s="58"/>
      <c r="S18" s="58"/>
      <c r="T18" s="58"/>
    </row>
    <row r="19" spans="2:21" s="6" customFormat="1" ht="21" customHeight="1">
      <c r="C19" s="58"/>
      <c r="D19" s="61"/>
      <c r="E19" s="58"/>
      <c r="F19" s="58"/>
      <c r="G19" s="58"/>
      <c r="H19" s="58"/>
      <c r="I19" s="58"/>
      <c r="J19" s="59"/>
      <c r="K19" s="58"/>
      <c r="L19" s="58"/>
      <c r="M19" s="58"/>
      <c r="N19" s="58"/>
      <c r="O19" s="58"/>
      <c r="P19" s="58"/>
      <c r="Q19" s="58"/>
      <c r="R19" s="58"/>
      <c r="S19" s="58"/>
      <c r="T19" s="58"/>
    </row>
    <row r="20" spans="2:21" s="6" customFormat="1" ht="21" customHeight="1">
      <c r="C20" s="58"/>
      <c r="D20" s="61"/>
      <c r="E20" s="58"/>
      <c r="F20" s="58"/>
      <c r="G20" s="58"/>
      <c r="H20" s="58"/>
      <c r="I20" s="58"/>
      <c r="J20" s="59"/>
      <c r="K20" s="58"/>
      <c r="L20" s="58"/>
      <c r="M20" s="58"/>
      <c r="N20" s="58"/>
      <c r="O20" s="58"/>
      <c r="P20" s="58"/>
      <c r="Q20" s="58"/>
      <c r="R20" s="58"/>
      <c r="S20" s="58"/>
      <c r="T20" s="58"/>
    </row>
    <row r="21" spans="2:21" s="6" customFormat="1" ht="21" customHeight="1">
      <c r="C21" s="58"/>
      <c r="D21" s="61"/>
      <c r="E21" s="58"/>
      <c r="F21" s="58"/>
      <c r="G21" s="58"/>
      <c r="H21" s="58"/>
      <c r="I21" s="58"/>
      <c r="J21" s="59"/>
      <c r="K21" s="58"/>
      <c r="L21" s="58"/>
      <c r="M21" s="58"/>
      <c r="N21" s="58"/>
      <c r="O21" s="58"/>
      <c r="P21" s="58"/>
      <c r="Q21" s="58"/>
      <c r="R21" s="58"/>
      <c r="S21" s="58"/>
      <c r="T21" s="58"/>
    </row>
    <row r="22" spans="2:21" s="6" customFormat="1" ht="21" customHeight="1">
      <c r="C22" s="58"/>
      <c r="D22" s="61"/>
      <c r="E22" s="58"/>
      <c r="F22" s="58"/>
      <c r="G22" s="58"/>
      <c r="H22" s="58"/>
      <c r="I22" s="58"/>
      <c r="J22" s="59"/>
      <c r="K22" s="58"/>
      <c r="L22" s="58"/>
      <c r="M22" s="58"/>
      <c r="N22" s="58"/>
      <c r="O22" s="58"/>
      <c r="P22" s="58"/>
      <c r="Q22" s="58"/>
      <c r="R22" s="58"/>
      <c r="S22" s="58"/>
      <c r="T22" s="58"/>
    </row>
    <row r="23" spans="2:21" s="6" customFormat="1" ht="21" customHeight="1">
      <c r="C23" s="58"/>
      <c r="D23" s="61"/>
      <c r="E23" s="58"/>
      <c r="F23" s="58"/>
      <c r="G23" s="58"/>
      <c r="H23" s="58"/>
      <c r="I23" s="58"/>
      <c r="J23" s="59"/>
      <c r="K23" s="58"/>
      <c r="L23" s="58"/>
      <c r="M23" s="58"/>
      <c r="N23" s="58"/>
      <c r="O23" s="58"/>
      <c r="P23" s="58"/>
      <c r="Q23" s="58"/>
      <c r="R23" s="58"/>
      <c r="S23" s="58"/>
      <c r="T23" s="58"/>
    </row>
    <row r="24" spans="2:21" s="6" customFormat="1" ht="21" customHeight="1">
      <c r="C24" s="58"/>
      <c r="D24" s="61"/>
      <c r="E24" s="58"/>
      <c r="F24" s="58"/>
      <c r="G24" s="58"/>
      <c r="H24" s="58"/>
      <c r="I24" s="58"/>
      <c r="J24" s="59"/>
      <c r="K24" s="58"/>
      <c r="L24" s="58"/>
      <c r="M24" s="58"/>
      <c r="N24" s="58"/>
      <c r="O24" s="58"/>
      <c r="P24" s="58"/>
      <c r="Q24" s="58"/>
      <c r="R24" s="58"/>
      <c r="S24" s="58"/>
      <c r="T24" s="58"/>
    </row>
    <row r="25" spans="2:21" s="6" customFormat="1" ht="21" customHeight="1">
      <c r="C25" s="58"/>
      <c r="D25" s="61"/>
      <c r="E25" s="58"/>
      <c r="F25" s="58"/>
      <c r="G25" s="58"/>
      <c r="H25" s="58"/>
      <c r="I25" s="58"/>
      <c r="J25" s="59"/>
      <c r="K25" s="58"/>
      <c r="L25" s="58"/>
      <c r="M25" s="58"/>
      <c r="N25" s="58"/>
      <c r="O25" s="58"/>
      <c r="P25" s="58"/>
      <c r="Q25" s="58"/>
      <c r="R25" s="58"/>
      <c r="S25" s="58"/>
      <c r="T25" s="58"/>
    </row>
    <row r="26" spans="2:21" s="6" customFormat="1" ht="21" customHeight="1">
      <c r="C26" s="58"/>
      <c r="D26" s="61"/>
      <c r="E26" s="58"/>
      <c r="F26" s="58"/>
      <c r="G26" s="58"/>
      <c r="H26" s="58"/>
      <c r="I26" s="58"/>
      <c r="J26" s="59"/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27" spans="2:21" s="6" customFormat="1" ht="21" customHeight="1">
      <c r="C27" s="58"/>
      <c r="D27" s="61"/>
      <c r="E27" s="58"/>
      <c r="F27" s="58"/>
      <c r="G27" s="58"/>
      <c r="H27" s="58"/>
      <c r="I27" s="58"/>
      <c r="J27" s="59"/>
      <c r="K27" s="58"/>
      <c r="L27" s="58"/>
      <c r="M27" s="58"/>
      <c r="N27" s="58"/>
      <c r="O27" s="58"/>
      <c r="P27" s="58"/>
      <c r="Q27" s="58"/>
      <c r="R27" s="58"/>
      <c r="S27" s="58"/>
      <c r="T27" s="58"/>
    </row>
    <row r="28" spans="2:21" s="6" customFormat="1" ht="21" customHeight="1">
      <c r="C28" s="58"/>
      <c r="D28" s="61"/>
      <c r="E28" s="58"/>
      <c r="F28" s="58"/>
      <c r="G28" s="58"/>
      <c r="H28" s="58"/>
      <c r="I28" s="58"/>
      <c r="J28" s="59"/>
      <c r="K28" s="58"/>
      <c r="L28" s="58"/>
      <c r="M28" s="58"/>
      <c r="N28" s="58"/>
      <c r="O28" s="58"/>
      <c r="P28" s="58"/>
      <c r="Q28" s="58"/>
      <c r="R28" s="58"/>
      <c r="S28" s="58"/>
      <c r="T28" s="58"/>
    </row>
    <row r="29" spans="2:21" s="6" customFormat="1" ht="21" customHeight="1">
      <c r="C29" s="58"/>
      <c r="D29" s="61"/>
      <c r="E29" s="58"/>
      <c r="F29" s="58"/>
      <c r="G29" s="58"/>
      <c r="H29" s="58"/>
      <c r="I29" s="58"/>
      <c r="J29" s="59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 spans="2:21" s="3" customFormat="1" ht="21" customHeight="1">
      <c r="B30" s="128"/>
      <c r="C30" s="42"/>
      <c r="D30" s="63"/>
      <c r="E30" s="42"/>
      <c r="F30" s="42"/>
      <c r="G30" s="42"/>
      <c r="H30" s="42"/>
      <c r="I30" s="42"/>
      <c r="J30" s="64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128"/>
    </row>
    <row r="31" spans="2:21" s="3" customFormat="1" ht="21" customHeight="1">
      <c r="B31" s="128"/>
      <c r="C31" s="42"/>
      <c r="D31" s="63"/>
      <c r="E31" s="42"/>
      <c r="F31" s="42"/>
      <c r="G31" s="42"/>
      <c r="H31" s="42"/>
      <c r="I31" s="42"/>
      <c r="J31" s="64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128"/>
    </row>
    <row r="32" spans="2:21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</sheetData>
  <mergeCells count="1">
    <mergeCell ref="C4:T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CF4A-5D35-4433-94A1-123A3EF6F062}">
  <sheetPr>
    <tabColor rgb="FF92D050"/>
  </sheetPr>
  <dimension ref="E3:AQ208"/>
  <sheetViews>
    <sheetView topLeftCell="F4" workbookViewId="0">
      <selection activeCell="M25" sqref="M25"/>
    </sheetView>
  </sheetViews>
  <sheetFormatPr defaultRowHeight="15"/>
  <cols>
    <col min="5" max="5" width="11.5703125" bestFit="1" customWidth="1"/>
    <col min="6" max="6" width="18" bestFit="1" customWidth="1"/>
    <col min="7" max="7" width="9.7109375" customWidth="1"/>
    <col min="8" max="8" width="19.5703125" style="3" bestFit="1" customWidth="1"/>
    <col min="9" max="9" width="15.5703125" style="13" bestFit="1" customWidth="1"/>
    <col min="10" max="11" width="3.7109375" style="42" customWidth="1"/>
    <col min="12" max="12" width="3.5703125" style="42" bestFit="1" customWidth="1"/>
    <col min="13" max="13" width="4.140625" style="42" bestFit="1" customWidth="1"/>
    <col min="14" max="14" width="4.28515625" style="42" customWidth="1"/>
    <col min="15" max="15" width="4" style="42" bestFit="1" customWidth="1"/>
    <col min="16" max="17" width="4.140625" style="42" bestFit="1" customWidth="1"/>
    <col min="18" max="18" width="4" style="42" bestFit="1" customWidth="1"/>
    <col min="19" max="19" width="4.140625" style="42" bestFit="1" customWidth="1"/>
    <col min="20" max="28" width="3.85546875" style="42" bestFit="1" customWidth="1"/>
    <col min="29" max="29" width="4.85546875" style="42" bestFit="1" customWidth="1"/>
    <col min="30" max="30" width="3.85546875" style="42" bestFit="1" customWidth="1"/>
    <col min="31" max="31" width="3.42578125" style="42" bestFit="1" customWidth="1"/>
    <col min="32" max="32" width="4.140625" style="42" bestFit="1" customWidth="1"/>
    <col min="33" max="36" width="3.85546875" style="42" bestFit="1" customWidth="1"/>
    <col min="37" max="37" width="4.85546875" style="42" bestFit="1" customWidth="1"/>
    <col min="38" max="40" width="3.85546875" style="42" bestFit="1" customWidth="1"/>
    <col min="41" max="41" width="13.7109375" bestFit="1" customWidth="1"/>
    <col min="42" max="42" width="20.7109375" bestFit="1" customWidth="1"/>
  </cols>
  <sheetData>
    <row r="3" spans="5:43">
      <c r="H3" s="127">
        <v>45992</v>
      </c>
    </row>
    <row r="4" spans="5:43" ht="46.5">
      <c r="F4" s="130" t="s">
        <v>31</v>
      </c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</row>
    <row r="5" spans="5:43" ht="15.75">
      <c r="F5" s="12" t="s">
        <v>32</v>
      </c>
      <c r="H5" s="14" t="s">
        <v>33</v>
      </c>
      <c r="I5" s="12" t="s">
        <v>34</v>
      </c>
      <c r="J5" s="70">
        <v>1</v>
      </c>
      <c r="K5" s="70">
        <v>2</v>
      </c>
      <c r="L5" s="70">
        <v>3</v>
      </c>
      <c r="M5" s="70">
        <v>4</v>
      </c>
      <c r="N5" s="70">
        <v>5</v>
      </c>
      <c r="O5" s="70">
        <v>6</v>
      </c>
      <c r="P5" s="70">
        <v>7</v>
      </c>
      <c r="Q5" s="70">
        <v>8</v>
      </c>
      <c r="R5" s="70">
        <v>9</v>
      </c>
      <c r="S5" s="70">
        <v>10</v>
      </c>
      <c r="T5" s="70">
        <v>11</v>
      </c>
      <c r="U5" s="70">
        <v>12</v>
      </c>
      <c r="V5" s="70">
        <v>13</v>
      </c>
      <c r="W5" s="70">
        <v>14</v>
      </c>
      <c r="X5" s="70">
        <v>15</v>
      </c>
      <c r="Y5" s="70">
        <v>16</v>
      </c>
      <c r="Z5" s="70">
        <v>17</v>
      </c>
      <c r="AA5" s="70">
        <v>18</v>
      </c>
      <c r="AB5" s="70">
        <v>19</v>
      </c>
      <c r="AC5" s="70">
        <v>20</v>
      </c>
      <c r="AD5" s="70">
        <v>21</v>
      </c>
      <c r="AE5" s="70">
        <v>22</v>
      </c>
      <c r="AF5" s="70">
        <v>23</v>
      </c>
      <c r="AG5" s="70">
        <v>24</v>
      </c>
      <c r="AH5" s="70">
        <v>25</v>
      </c>
      <c r="AI5" s="70">
        <v>26</v>
      </c>
      <c r="AJ5" s="70">
        <v>27</v>
      </c>
      <c r="AK5" s="70">
        <v>28</v>
      </c>
      <c r="AL5" s="70">
        <v>29</v>
      </c>
      <c r="AM5" s="70">
        <v>30</v>
      </c>
      <c r="AN5" s="70">
        <v>31</v>
      </c>
      <c r="AO5" s="37" t="s">
        <v>35</v>
      </c>
      <c r="AP5" s="37" t="s">
        <v>36</v>
      </c>
    </row>
    <row r="6" spans="5:43" ht="15.75">
      <c r="F6" t="str">
        <f>IF(AO6&lt;I6,"GOOD CONDITION ","NO LIMIT")</f>
        <v xml:space="preserve">GOOD CONDITION </v>
      </c>
      <c r="H6" s="68" t="s">
        <v>37</v>
      </c>
      <c r="I6" s="13">
        <v>500</v>
      </c>
      <c r="J6" s="42">
        <v>258</v>
      </c>
      <c r="K6" s="42">
        <v>182</v>
      </c>
      <c r="AK6" s="71">
        <v>32</v>
      </c>
      <c r="AL6" s="71"/>
      <c r="AM6" s="71"/>
      <c r="AN6" s="71"/>
      <c r="AO6" s="5">
        <f>SUM(J6:AN6)</f>
        <v>472</v>
      </c>
      <c r="AP6" s="5">
        <f>I6-AO6</f>
        <v>28</v>
      </c>
    </row>
    <row r="7" spans="5:43" ht="15.75">
      <c r="E7" s="5"/>
      <c r="F7" t="str">
        <f>IF(AO7&lt;I7,"GOOD CONDITION ","NO LIMIT")</f>
        <v xml:space="preserve">GOOD CONDITION </v>
      </c>
      <c r="H7" s="68" t="s">
        <v>26</v>
      </c>
      <c r="I7" s="13">
        <v>1500</v>
      </c>
      <c r="M7" s="42">
        <v>159</v>
      </c>
      <c r="Q7" s="42">
        <v>146</v>
      </c>
      <c r="R7" s="42">
        <v>68</v>
      </c>
      <c r="S7" s="42">
        <v>118</v>
      </c>
      <c r="AO7" s="5">
        <f t="shared" ref="AO7:AO10" si="0">SUM(J7:AN7)</f>
        <v>491</v>
      </c>
      <c r="AP7" s="5">
        <f>I7-AO7</f>
        <v>1009</v>
      </c>
    </row>
    <row r="8" spans="5:43">
      <c r="F8" t="str">
        <f>IF(AO8&lt;I8,"GOOD CONDITION ","NO LIMIT")</f>
        <v>NO LIMIT</v>
      </c>
      <c r="H8" s="128"/>
      <c r="AO8" s="5">
        <f>SUM(J8:AN8)</f>
        <v>0</v>
      </c>
      <c r="AP8" s="5">
        <f>I8-AO8</f>
        <v>0</v>
      </c>
    </row>
    <row r="9" spans="5:43">
      <c r="H9" s="128"/>
      <c r="AO9" s="5"/>
      <c r="AP9" s="5"/>
    </row>
    <row r="10" spans="5:43">
      <c r="H10" s="128"/>
      <c r="AO10" s="5"/>
      <c r="AP10" s="5"/>
    </row>
    <row r="11" spans="5:43">
      <c r="H11" s="128"/>
      <c r="AO11" s="5"/>
      <c r="AP11" s="5"/>
    </row>
    <row r="12" spans="5:43">
      <c r="H12" s="128"/>
      <c r="AO12" s="5"/>
      <c r="AP12" s="5"/>
    </row>
    <row r="13" spans="5:43">
      <c r="H13" s="128"/>
      <c r="AO13" s="5"/>
      <c r="AP13" s="5"/>
    </row>
    <row r="14" spans="5:43">
      <c r="H14" s="128"/>
      <c r="AO14" s="5"/>
      <c r="AP14" s="5"/>
    </row>
    <row r="15" spans="5:43">
      <c r="H15" s="128"/>
      <c r="AO15" s="5"/>
      <c r="AP15" s="5"/>
      <c r="AQ15" s="5"/>
    </row>
    <row r="16" spans="5:43">
      <c r="H16" s="128"/>
      <c r="AO16" s="5"/>
      <c r="AP16" s="5"/>
      <c r="AQ16" s="5"/>
    </row>
    <row r="17" spans="8:43">
      <c r="H17" s="128"/>
      <c r="AO17" s="5"/>
      <c r="AP17" s="5"/>
      <c r="AQ17" s="5"/>
    </row>
    <row r="18" spans="8:43">
      <c r="H18" s="128"/>
      <c r="AO18" s="5"/>
      <c r="AP18" s="5"/>
      <c r="AQ18" s="5"/>
    </row>
    <row r="19" spans="8:43">
      <c r="H19" s="128"/>
      <c r="AO19" s="5"/>
      <c r="AP19" s="5"/>
      <c r="AQ19" s="5"/>
    </row>
    <row r="20" spans="8:43">
      <c r="H20" s="128"/>
      <c r="AO20" s="5"/>
      <c r="AP20" s="5"/>
      <c r="AQ20" s="5"/>
    </row>
    <row r="21" spans="8:43">
      <c r="H21" s="128"/>
      <c r="AO21" s="5"/>
      <c r="AP21" s="5"/>
    </row>
    <row r="22" spans="8:43">
      <c r="H22" s="128"/>
      <c r="AO22" s="5"/>
      <c r="AP22" s="5"/>
    </row>
    <row r="23" spans="8:43">
      <c r="H23" s="128"/>
      <c r="AO23" s="5"/>
      <c r="AP23" s="5"/>
    </row>
    <row r="24" spans="8:43">
      <c r="H24" s="128"/>
      <c r="AO24" s="5"/>
      <c r="AP24" s="5"/>
    </row>
    <row r="25" spans="8:43">
      <c r="H25" s="128"/>
      <c r="AO25" s="5"/>
      <c r="AP25" s="5"/>
    </row>
    <row r="26" spans="8:43">
      <c r="H26" s="128"/>
      <c r="AO26" s="5"/>
      <c r="AP26" s="5"/>
    </row>
    <row r="27" spans="8:43">
      <c r="H27" s="128"/>
      <c r="AO27" s="5"/>
      <c r="AP27" s="5"/>
    </row>
    <row r="28" spans="8:43">
      <c r="H28" s="128"/>
      <c r="AO28" s="5"/>
      <c r="AP28" s="5"/>
    </row>
    <row r="29" spans="8:43">
      <c r="H29" s="128"/>
      <c r="AO29" s="5"/>
      <c r="AP29" s="5"/>
    </row>
    <row r="30" spans="8:43">
      <c r="H30" s="128"/>
      <c r="AO30" s="5"/>
      <c r="AP30" s="5"/>
    </row>
    <row r="31" spans="8:43">
      <c r="H31" s="128"/>
      <c r="AO31" s="5"/>
      <c r="AP31" s="5"/>
    </row>
    <row r="32" spans="8:43">
      <c r="H32" s="128"/>
      <c r="AO32" s="5"/>
      <c r="AP32" s="5"/>
    </row>
    <row r="33" spans="8:42">
      <c r="H33" s="128"/>
      <c r="AO33" s="5"/>
      <c r="AP33" s="5"/>
    </row>
    <row r="34" spans="8:42">
      <c r="H34" s="128"/>
      <c r="AO34" s="5"/>
      <c r="AP34" s="5"/>
    </row>
    <row r="35" spans="8:42">
      <c r="H35" s="128"/>
      <c r="AO35" s="5"/>
      <c r="AP35" s="5"/>
    </row>
    <row r="36" spans="8:42">
      <c r="H36" s="128"/>
      <c r="AO36" s="5"/>
      <c r="AP36" s="5"/>
    </row>
    <row r="37" spans="8:42">
      <c r="H37" s="128"/>
      <c r="AO37" s="5"/>
      <c r="AP37" s="5"/>
    </row>
    <row r="38" spans="8:42">
      <c r="H38" s="128"/>
      <c r="AO38" s="5"/>
      <c r="AP38" s="5"/>
    </row>
    <row r="39" spans="8:42">
      <c r="H39" s="128"/>
      <c r="AO39" s="5"/>
      <c r="AP39" s="5"/>
    </row>
    <row r="40" spans="8:42">
      <c r="H40" s="128"/>
      <c r="AO40" s="5"/>
      <c r="AP40" s="5"/>
    </row>
    <row r="41" spans="8:42">
      <c r="H41" s="128"/>
      <c r="AO41" s="5"/>
      <c r="AP41" s="5"/>
    </row>
    <row r="42" spans="8:42">
      <c r="H42" s="128"/>
      <c r="AO42" s="5"/>
      <c r="AP42" s="5"/>
    </row>
    <row r="43" spans="8:42">
      <c r="H43" s="128"/>
      <c r="AO43" s="5"/>
      <c r="AP43" s="5"/>
    </row>
    <row r="44" spans="8:42">
      <c r="H44" s="128"/>
      <c r="AO44" s="5"/>
      <c r="AP44" s="5"/>
    </row>
    <row r="45" spans="8:42">
      <c r="H45" s="128"/>
      <c r="AO45" s="5"/>
      <c r="AP45" s="5"/>
    </row>
    <row r="46" spans="8:42">
      <c r="H46" s="128"/>
      <c r="AO46" s="5"/>
      <c r="AP46" s="5"/>
    </row>
    <row r="47" spans="8:42">
      <c r="H47" s="128"/>
      <c r="AO47" s="5"/>
      <c r="AP47" s="5"/>
    </row>
    <row r="48" spans="8:42">
      <c r="H48" s="128"/>
      <c r="AO48" s="5"/>
      <c r="AP48" s="5"/>
    </row>
    <row r="49" spans="8:42">
      <c r="H49" s="128"/>
      <c r="AO49" s="5"/>
      <c r="AP49" s="5"/>
    </row>
    <row r="50" spans="8:42">
      <c r="H50" s="128"/>
      <c r="AO50" s="5"/>
      <c r="AP50" s="5"/>
    </row>
    <row r="51" spans="8:42">
      <c r="H51" s="128"/>
      <c r="AO51" s="5"/>
      <c r="AP51" s="5"/>
    </row>
    <row r="52" spans="8:42">
      <c r="H52" s="128"/>
      <c r="AO52" s="5"/>
      <c r="AP52" s="5"/>
    </row>
    <row r="53" spans="8:42">
      <c r="H53" s="128"/>
      <c r="AO53" s="5"/>
      <c r="AP53" s="5"/>
    </row>
    <row r="54" spans="8:42">
      <c r="H54" s="128"/>
      <c r="AO54" s="5"/>
      <c r="AP54" s="5"/>
    </row>
    <row r="55" spans="8:42">
      <c r="H55" s="128"/>
      <c r="AO55" s="5"/>
      <c r="AP55" s="5"/>
    </row>
    <row r="56" spans="8:42">
      <c r="H56" s="128"/>
      <c r="AO56" s="5"/>
      <c r="AP56" s="5"/>
    </row>
    <row r="57" spans="8:42">
      <c r="H57" s="128"/>
      <c r="AO57" s="5"/>
      <c r="AP57" s="5"/>
    </row>
    <row r="58" spans="8:42">
      <c r="H58" s="128"/>
      <c r="AO58" s="5"/>
      <c r="AP58" s="5"/>
    </row>
    <row r="59" spans="8:42">
      <c r="H59" s="128"/>
      <c r="AO59" s="5"/>
      <c r="AP59" s="5"/>
    </row>
    <row r="60" spans="8:42">
      <c r="H60" s="128"/>
      <c r="AO60" s="5"/>
      <c r="AP60" s="5"/>
    </row>
    <row r="61" spans="8:42">
      <c r="H61" s="128"/>
      <c r="AO61" s="5"/>
      <c r="AP61" s="5"/>
    </row>
    <row r="62" spans="8:42">
      <c r="H62" s="128"/>
      <c r="AO62" s="5"/>
      <c r="AP62" s="5"/>
    </row>
    <row r="63" spans="8:42">
      <c r="H63" s="128"/>
      <c r="AO63" s="5"/>
      <c r="AP63" s="5"/>
    </row>
    <row r="64" spans="8:42">
      <c r="H64" s="128"/>
      <c r="AO64" s="5"/>
      <c r="AP64" s="5"/>
    </row>
    <row r="65" spans="8:42">
      <c r="H65" s="128"/>
      <c r="AO65" s="5"/>
      <c r="AP65" s="5"/>
    </row>
    <row r="66" spans="8:42">
      <c r="H66" s="128"/>
      <c r="AO66" s="5"/>
      <c r="AP66" s="5"/>
    </row>
    <row r="67" spans="8:42">
      <c r="H67" s="128"/>
      <c r="AO67" s="5"/>
      <c r="AP67" s="5"/>
    </row>
    <row r="68" spans="8:42">
      <c r="H68" s="128"/>
      <c r="AO68" s="5"/>
      <c r="AP68" s="5"/>
    </row>
    <row r="69" spans="8:42">
      <c r="H69" s="128"/>
      <c r="AO69" s="5"/>
      <c r="AP69" s="5"/>
    </row>
    <row r="70" spans="8:42">
      <c r="H70" s="128"/>
      <c r="AO70" s="5"/>
      <c r="AP70" s="5"/>
    </row>
    <row r="71" spans="8:42">
      <c r="H71" s="128"/>
      <c r="AO71" s="5"/>
      <c r="AP71" s="5"/>
    </row>
    <row r="72" spans="8:42">
      <c r="H72" s="128"/>
      <c r="AO72" s="5"/>
      <c r="AP72" s="5"/>
    </row>
    <row r="73" spans="8:42">
      <c r="H73" s="128"/>
      <c r="AO73" s="5"/>
      <c r="AP73" s="5"/>
    </row>
    <row r="74" spans="8:42">
      <c r="H74" s="128"/>
      <c r="AO74" s="5"/>
      <c r="AP74" s="5"/>
    </row>
    <row r="75" spans="8:42">
      <c r="H75" s="128"/>
      <c r="AO75" s="5"/>
      <c r="AP75" s="5"/>
    </row>
    <row r="76" spans="8:42">
      <c r="H76" s="128"/>
      <c r="AO76" s="5"/>
      <c r="AP76" s="5"/>
    </row>
    <row r="77" spans="8:42">
      <c r="H77" s="128"/>
      <c r="AO77" s="5"/>
      <c r="AP77" s="5"/>
    </row>
    <row r="78" spans="8:42">
      <c r="H78" s="128"/>
      <c r="AO78" s="5"/>
      <c r="AP78" s="5"/>
    </row>
    <row r="79" spans="8:42">
      <c r="H79" s="128"/>
      <c r="AO79" s="5"/>
      <c r="AP79" s="5"/>
    </row>
    <row r="80" spans="8:42">
      <c r="H80" s="128"/>
      <c r="AO80" s="5"/>
      <c r="AP80" s="5"/>
    </row>
    <row r="81" spans="8:42">
      <c r="H81" s="128"/>
      <c r="AO81" s="5"/>
      <c r="AP81" s="5"/>
    </row>
    <row r="82" spans="8:42">
      <c r="H82" s="128"/>
      <c r="AO82" s="5"/>
      <c r="AP82" s="5"/>
    </row>
    <row r="83" spans="8:42">
      <c r="H83" s="128"/>
      <c r="AO83" s="5"/>
      <c r="AP83" s="5"/>
    </row>
    <row r="84" spans="8:42">
      <c r="H84" s="128"/>
      <c r="AO84" s="5"/>
      <c r="AP84" s="5"/>
    </row>
    <row r="85" spans="8:42">
      <c r="H85" s="128"/>
      <c r="AO85" s="5"/>
      <c r="AP85" s="5"/>
    </row>
    <row r="86" spans="8:42">
      <c r="H86" s="128"/>
      <c r="AO86" s="5"/>
      <c r="AP86" s="5"/>
    </row>
    <row r="87" spans="8:42">
      <c r="H87" s="128"/>
      <c r="AO87" s="5"/>
      <c r="AP87" s="5"/>
    </row>
    <row r="88" spans="8:42">
      <c r="H88" s="128"/>
      <c r="AO88" s="5"/>
      <c r="AP88" s="5"/>
    </row>
    <row r="89" spans="8:42">
      <c r="H89" s="128"/>
      <c r="AO89" s="5"/>
      <c r="AP89" s="5"/>
    </row>
    <row r="90" spans="8:42">
      <c r="H90" s="128"/>
      <c r="AO90" s="5"/>
      <c r="AP90" s="5"/>
    </row>
    <row r="91" spans="8:42">
      <c r="H91" s="128"/>
      <c r="AO91" s="5"/>
      <c r="AP91" s="5"/>
    </row>
    <row r="92" spans="8:42">
      <c r="H92" s="128"/>
      <c r="AO92" s="5"/>
      <c r="AP92" s="5"/>
    </row>
    <row r="93" spans="8:42">
      <c r="H93" s="128"/>
      <c r="AO93" s="5"/>
      <c r="AP93" s="5"/>
    </row>
    <row r="94" spans="8:42">
      <c r="H94" s="128"/>
      <c r="AO94" s="5"/>
      <c r="AP94" s="5"/>
    </row>
    <row r="95" spans="8:42">
      <c r="H95" s="128"/>
      <c r="AO95" s="5"/>
      <c r="AP95" s="5"/>
    </row>
    <row r="96" spans="8:42">
      <c r="H96" s="128"/>
      <c r="AO96" s="5"/>
      <c r="AP96" s="5"/>
    </row>
    <row r="97" spans="8:42">
      <c r="H97" s="128"/>
      <c r="AO97" s="5"/>
      <c r="AP97" s="5"/>
    </row>
    <row r="98" spans="8:42">
      <c r="H98" s="128"/>
      <c r="AO98" s="5"/>
      <c r="AP98" s="5"/>
    </row>
    <row r="99" spans="8:42">
      <c r="H99" s="128"/>
      <c r="AO99" s="5"/>
      <c r="AP99" s="5"/>
    </row>
    <row r="100" spans="8:42">
      <c r="H100" s="128"/>
      <c r="AO100" s="5"/>
      <c r="AP100" s="5"/>
    </row>
    <row r="101" spans="8:42">
      <c r="H101" s="128"/>
      <c r="AP101" s="5"/>
    </row>
    <row r="102" spans="8:42">
      <c r="H102" s="128"/>
      <c r="AP102" s="5"/>
    </row>
    <row r="103" spans="8:42">
      <c r="H103" s="128"/>
      <c r="AP103" s="5"/>
    </row>
    <row r="104" spans="8:42">
      <c r="H104" s="128"/>
      <c r="AP104" s="5"/>
    </row>
    <row r="105" spans="8:42">
      <c r="H105" s="128"/>
      <c r="AP105" s="5"/>
    </row>
    <row r="106" spans="8:42">
      <c r="H106" s="128"/>
      <c r="AP106" s="5"/>
    </row>
    <row r="107" spans="8:42">
      <c r="H107" s="128"/>
      <c r="AP107" s="5"/>
    </row>
    <row r="108" spans="8:42">
      <c r="H108" s="128"/>
      <c r="AP108" s="5"/>
    </row>
    <row r="109" spans="8:42">
      <c r="H109" s="128"/>
      <c r="AP109" s="5"/>
    </row>
    <row r="110" spans="8:42">
      <c r="H110" s="128"/>
      <c r="AP110" s="5"/>
    </row>
    <row r="111" spans="8:42">
      <c r="H111" s="128"/>
      <c r="AP111" s="5"/>
    </row>
    <row r="112" spans="8:42">
      <c r="H112" s="128"/>
      <c r="AP112" s="5"/>
    </row>
    <row r="113" spans="8:42">
      <c r="H113" s="128"/>
      <c r="AP113" s="5"/>
    </row>
    <row r="114" spans="8:42">
      <c r="H114" s="128"/>
      <c r="AP114" s="5"/>
    </row>
    <row r="115" spans="8:42">
      <c r="H115" s="128"/>
      <c r="AP115" s="5"/>
    </row>
    <row r="116" spans="8:42">
      <c r="H116" s="128"/>
      <c r="AP116" s="5"/>
    </row>
    <row r="117" spans="8:42">
      <c r="H117" s="128"/>
      <c r="AP117" s="5"/>
    </row>
    <row r="118" spans="8:42">
      <c r="H118" s="128"/>
      <c r="AP118" s="5"/>
    </row>
    <row r="119" spans="8:42">
      <c r="H119" s="128"/>
      <c r="AP119" s="5"/>
    </row>
    <row r="120" spans="8:42">
      <c r="H120" s="128"/>
      <c r="AP120" s="5"/>
    </row>
    <row r="121" spans="8:42">
      <c r="H121" s="128"/>
      <c r="AP121" s="5"/>
    </row>
    <row r="122" spans="8:42">
      <c r="H122" s="128"/>
      <c r="AP122" s="5"/>
    </row>
    <row r="123" spans="8:42">
      <c r="H123" s="128"/>
      <c r="AP123" s="5"/>
    </row>
    <row r="124" spans="8:42">
      <c r="H124" s="128"/>
      <c r="AP124" s="5"/>
    </row>
    <row r="125" spans="8:42">
      <c r="H125" s="128"/>
      <c r="AP125" s="5"/>
    </row>
    <row r="126" spans="8:42">
      <c r="H126" s="128"/>
      <c r="AP126" s="5"/>
    </row>
    <row r="127" spans="8:42">
      <c r="H127" s="128"/>
      <c r="AP127" s="5"/>
    </row>
    <row r="128" spans="8:42">
      <c r="H128" s="128"/>
      <c r="AP128" s="5"/>
    </row>
    <row r="129" spans="8:42">
      <c r="H129" s="128"/>
      <c r="AP129" s="5"/>
    </row>
    <row r="130" spans="8:42">
      <c r="H130" s="128"/>
      <c r="AP130" s="5"/>
    </row>
    <row r="131" spans="8:42">
      <c r="H131" s="128"/>
      <c r="AP131" s="5"/>
    </row>
    <row r="132" spans="8:42">
      <c r="H132" s="128"/>
      <c r="AP132" s="5"/>
    </row>
    <row r="133" spans="8:42">
      <c r="H133" s="128"/>
      <c r="AP133" s="5"/>
    </row>
    <row r="134" spans="8:42">
      <c r="H134" s="128"/>
      <c r="AP134" s="5"/>
    </row>
    <row r="135" spans="8:42">
      <c r="H135" s="128"/>
      <c r="AP135" s="5"/>
    </row>
    <row r="136" spans="8:42">
      <c r="H136" s="128"/>
      <c r="AP136" s="5"/>
    </row>
    <row r="137" spans="8:42">
      <c r="H137" s="128"/>
      <c r="AP137" s="5"/>
    </row>
    <row r="138" spans="8:42">
      <c r="H138" s="128"/>
      <c r="AP138" s="5"/>
    </row>
    <row r="139" spans="8:42">
      <c r="H139" s="128"/>
      <c r="AP139" s="5"/>
    </row>
    <row r="140" spans="8:42">
      <c r="H140" s="128"/>
      <c r="AP140" s="5"/>
    </row>
    <row r="141" spans="8:42">
      <c r="H141" s="128"/>
      <c r="AP141" s="5"/>
    </row>
    <row r="142" spans="8:42">
      <c r="H142" s="128"/>
      <c r="AP142" s="5"/>
    </row>
    <row r="143" spans="8:42">
      <c r="H143" s="128"/>
      <c r="AP143" s="5"/>
    </row>
    <row r="144" spans="8:42">
      <c r="H144" s="128"/>
      <c r="AP144" s="5"/>
    </row>
    <row r="145" spans="8:42">
      <c r="H145" s="128"/>
      <c r="AP145" s="5"/>
    </row>
    <row r="146" spans="8:42">
      <c r="H146" s="128"/>
      <c r="AP146" s="5"/>
    </row>
    <row r="147" spans="8:42">
      <c r="H147" s="128"/>
      <c r="AP147" s="5"/>
    </row>
    <row r="148" spans="8:42">
      <c r="H148" s="128"/>
      <c r="AP148" s="5"/>
    </row>
    <row r="149" spans="8:42">
      <c r="H149" s="128"/>
      <c r="AP149" s="5"/>
    </row>
    <row r="150" spans="8:42">
      <c r="H150" s="128"/>
      <c r="AP150" s="5"/>
    </row>
    <row r="151" spans="8:42">
      <c r="H151" s="128"/>
      <c r="AP151" s="5"/>
    </row>
    <row r="152" spans="8:42">
      <c r="H152" s="128"/>
      <c r="AP152" s="5"/>
    </row>
    <row r="153" spans="8:42">
      <c r="H153" s="128"/>
      <c r="AP153" s="5"/>
    </row>
    <row r="154" spans="8:42">
      <c r="H154" s="128"/>
      <c r="AP154" s="5"/>
    </row>
    <row r="155" spans="8:42">
      <c r="H155" s="128"/>
      <c r="AP155" s="5"/>
    </row>
    <row r="156" spans="8:42">
      <c r="H156" s="128"/>
      <c r="AP156" s="5"/>
    </row>
    <row r="157" spans="8:42">
      <c r="H157" s="128"/>
      <c r="AP157" s="5"/>
    </row>
    <row r="158" spans="8:42">
      <c r="H158" s="128"/>
      <c r="AP158" s="5"/>
    </row>
    <row r="159" spans="8:42">
      <c r="H159" s="128"/>
      <c r="AP159" s="5"/>
    </row>
    <row r="160" spans="8:42">
      <c r="H160" s="128"/>
      <c r="AP160" s="5"/>
    </row>
    <row r="161" spans="8:42">
      <c r="H161" s="128"/>
      <c r="AP161" s="5"/>
    </row>
    <row r="162" spans="8:42">
      <c r="H162" s="128"/>
      <c r="AP162" s="5"/>
    </row>
    <row r="163" spans="8:42">
      <c r="H163" s="128"/>
      <c r="AP163" s="5"/>
    </row>
    <row r="164" spans="8:42">
      <c r="H164" s="128"/>
      <c r="AP164" s="5"/>
    </row>
    <row r="165" spans="8:42">
      <c r="H165" s="128"/>
      <c r="AP165" s="5"/>
    </row>
    <row r="166" spans="8:42">
      <c r="H166" s="128"/>
      <c r="AP166" s="5"/>
    </row>
    <row r="167" spans="8:42">
      <c r="H167" s="128"/>
      <c r="AP167" s="5"/>
    </row>
    <row r="168" spans="8:42">
      <c r="H168" s="128"/>
      <c r="AP168" s="5"/>
    </row>
    <row r="169" spans="8:42">
      <c r="H169" s="128"/>
      <c r="AP169" s="5"/>
    </row>
    <row r="170" spans="8:42">
      <c r="H170" s="128"/>
      <c r="AP170" s="5"/>
    </row>
    <row r="171" spans="8:42">
      <c r="H171" s="128"/>
      <c r="AP171" s="5"/>
    </row>
    <row r="172" spans="8:42">
      <c r="H172" s="128"/>
      <c r="AP172" s="5"/>
    </row>
    <row r="173" spans="8:42">
      <c r="H173" s="128"/>
      <c r="AP173" s="5"/>
    </row>
    <row r="174" spans="8:42">
      <c r="H174" s="128"/>
      <c r="AP174" s="5"/>
    </row>
    <row r="175" spans="8:42">
      <c r="H175" s="128"/>
      <c r="AP175" s="5"/>
    </row>
    <row r="176" spans="8:42">
      <c r="H176" s="128"/>
      <c r="AP176" s="5"/>
    </row>
    <row r="177" spans="8:42">
      <c r="H177" s="128"/>
      <c r="AP177" s="5"/>
    </row>
    <row r="178" spans="8:42">
      <c r="H178" s="128"/>
      <c r="AP178" s="5"/>
    </row>
    <row r="179" spans="8:42">
      <c r="H179" s="128"/>
      <c r="AP179" s="5"/>
    </row>
    <row r="180" spans="8:42">
      <c r="H180" s="128"/>
      <c r="AP180" s="5"/>
    </row>
    <row r="181" spans="8:42">
      <c r="H181" s="128"/>
      <c r="AP181" s="5"/>
    </row>
    <row r="182" spans="8:42">
      <c r="H182" s="128"/>
      <c r="AP182" s="5"/>
    </row>
    <row r="183" spans="8:42">
      <c r="H183" s="128"/>
      <c r="AP183" s="5"/>
    </row>
    <row r="184" spans="8:42">
      <c r="H184" s="128"/>
      <c r="AP184" s="5"/>
    </row>
    <row r="185" spans="8:42">
      <c r="H185" s="128"/>
      <c r="AP185" s="5"/>
    </row>
    <row r="186" spans="8:42">
      <c r="H186" s="128"/>
      <c r="AP186" s="5"/>
    </row>
    <row r="187" spans="8:42">
      <c r="H187" s="128"/>
      <c r="AP187" s="5"/>
    </row>
    <row r="188" spans="8:42">
      <c r="H188" s="128"/>
      <c r="AP188" s="5"/>
    </row>
    <row r="189" spans="8:42">
      <c r="H189" s="128"/>
      <c r="AP189" s="5"/>
    </row>
    <row r="190" spans="8:42">
      <c r="H190" s="128"/>
      <c r="AP190" s="5"/>
    </row>
    <row r="191" spans="8:42">
      <c r="H191" s="128"/>
      <c r="AP191" s="5"/>
    </row>
    <row r="192" spans="8:42">
      <c r="H192" s="128"/>
      <c r="AP192" s="5"/>
    </row>
    <row r="193" spans="8:42">
      <c r="H193" s="128"/>
      <c r="AP193" s="5"/>
    </row>
    <row r="194" spans="8:42">
      <c r="H194" s="128"/>
      <c r="AP194" s="5"/>
    </row>
    <row r="195" spans="8:42">
      <c r="H195" s="128"/>
      <c r="AP195" s="5"/>
    </row>
    <row r="196" spans="8:42">
      <c r="H196" s="128"/>
      <c r="AP196" s="5"/>
    </row>
    <row r="197" spans="8:42">
      <c r="H197" s="128"/>
      <c r="AP197" s="5"/>
    </row>
    <row r="198" spans="8:42">
      <c r="H198" s="128"/>
      <c r="AP198" s="5"/>
    </row>
    <row r="199" spans="8:42">
      <c r="H199" s="128"/>
      <c r="AP199" s="5"/>
    </row>
    <row r="200" spans="8:42">
      <c r="H200" s="128"/>
      <c r="AP200" s="5"/>
    </row>
    <row r="201" spans="8:42">
      <c r="H201" s="128"/>
      <c r="AP201" s="5"/>
    </row>
    <row r="202" spans="8:42">
      <c r="H202" s="128"/>
      <c r="AP202" s="5"/>
    </row>
    <row r="203" spans="8:42">
      <c r="H203" s="128"/>
      <c r="AP203" s="5"/>
    </row>
    <row r="204" spans="8:42">
      <c r="H204" s="128"/>
      <c r="AP204" s="5"/>
    </row>
    <row r="205" spans="8:42">
      <c r="H205" s="128"/>
      <c r="AP205" s="5"/>
    </row>
    <row r="206" spans="8:42">
      <c r="H206" s="128"/>
      <c r="AP206" s="5"/>
    </row>
    <row r="207" spans="8:42">
      <c r="H207" s="128"/>
      <c r="AP207" s="5"/>
    </row>
    <row r="208" spans="8:42">
      <c r="H208" s="128"/>
      <c r="AP208" s="5"/>
    </row>
  </sheetData>
  <mergeCells count="1">
    <mergeCell ref="F4:AP4"/>
  </mergeCells>
  <conditionalFormatting sqref="AP6:AP208">
    <cfRule type="cellIs" dxfId="2" priority="4" operator="lessThanOrEqual">
      <formula>50</formula>
    </cfRule>
  </conditionalFormatting>
  <conditionalFormatting sqref="AP6:AP208">
    <cfRule type="cellIs" dxfId="1" priority="3" operator="greaterThan">
      <formula>50</formula>
    </cfRule>
  </conditionalFormatting>
  <conditionalFormatting sqref="AP6:AP208">
    <cfRule type="cellIs" dxfId="0" priority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7104-9824-43AE-BFC5-8FB48137D116}">
  <dimension ref="M1:AA68"/>
  <sheetViews>
    <sheetView topLeftCell="L19" workbookViewId="0">
      <selection activeCell="U30" sqref="U30"/>
    </sheetView>
  </sheetViews>
  <sheetFormatPr defaultRowHeight="15"/>
  <cols>
    <col min="13" max="13" width="19.5703125" style="72" bestFit="1" customWidth="1"/>
    <col min="14" max="14" width="24.42578125" style="72" bestFit="1" customWidth="1"/>
    <col min="15" max="15" width="26.140625" style="72" customWidth="1"/>
    <col min="16" max="16" width="8.7109375" style="77" bestFit="1" customWidth="1"/>
    <col min="17" max="17" width="8.85546875" style="13" customWidth="1"/>
    <col min="18" max="18" width="8.28515625" style="13" customWidth="1"/>
    <col min="19" max="19" width="8.85546875" style="13" customWidth="1"/>
    <col min="20" max="20" width="9" style="13" customWidth="1"/>
    <col min="21" max="21" width="12.42578125" style="74" customWidth="1"/>
    <col min="23" max="23" width="13" bestFit="1" customWidth="1"/>
    <col min="24" max="24" width="23.85546875" bestFit="1" customWidth="1"/>
  </cols>
  <sheetData>
    <row r="1" spans="13:27">
      <c r="M1" s="131">
        <v>45992</v>
      </c>
      <c r="N1" s="132"/>
      <c r="O1" s="132"/>
      <c r="P1" s="132"/>
    </row>
    <row r="3" spans="13:27" ht="18.75">
      <c r="M3" s="82" t="s">
        <v>1</v>
      </c>
      <c r="N3" s="82" t="s">
        <v>38</v>
      </c>
      <c r="O3" s="82" t="s">
        <v>39</v>
      </c>
      <c r="P3" s="83" t="s">
        <v>40</v>
      </c>
      <c r="Q3" s="84" t="s">
        <v>41</v>
      </c>
      <c r="R3" s="84" t="s">
        <v>42</v>
      </c>
      <c r="S3" s="84" t="s">
        <v>43</v>
      </c>
      <c r="T3" s="84" t="s">
        <v>44</v>
      </c>
      <c r="U3" s="85" t="s">
        <v>45</v>
      </c>
    </row>
    <row r="4" spans="13:27" ht="15.75">
      <c r="M4" s="78" t="s">
        <v>16</v>
      </c>
      <c r="N4" s="78" t="s">
        <v>46</v>
      </c>
      <c r="O4" s="78" t="s">
        <v>47</v>
      </c>
      <c r="P4" s="79">
        <v>3</v>
      </c>
      <c r="Q4" s="80">
        <v>2</v>
      </c>
      <c r="R4" s="80">
        <v>26</v>
      </c>
      <c r="S4" s="80"/>
      <c r="T4" s="80">
        <v>32</v>
      </c>
      <c r="U4" s="81">
        <v>45989</v>
      </c>
    </row>
    <row r="5" spans="13:27" ht="15.75">
      <c r="M5" s="78" t="s">
        <v>16</v>
      </c>
      <c r="N5" s="78" t="s">
        <v>48</v>
      </c>
      <c r="O5" s="78" t="s">
        <v>49</v>
      </c>
      <c r="P5" s="79">
        <v>10</v>
      </c>
      <c r="Q5" s="80">
        <v>2</v>
      </c>
      <c r="R5" s="80">
        <v>26</v>
      </c>
      <c r="S5" s="80"/>
      <c r="T5" s="80">
        <v>46</v>
      </c>
      <c r="U5" s="81">
        <v>45992</v>
      </c>
    </row>
    <row r="6" spans="13:27" ht="15.75">
      <c r="M6" s="78" t="s">
        <v>16</v>
      </c>
      <c r="N6" s="78" t="s">
        <v>49</v>
      </c>
      <c r="O6" s="78" t="s">
        <v>50</v>
      </c>
      <c r="P6" s="79">
        <v>25</v>
      </c>
      <c r="Q6" s="80">
        <v>2</v>
      </c>
      <c r="R6" s="80">
        <v>26</v>
      </c>
      <c r="S6" s="80"/>
      <c r="T6" s="80">
        <v>76</v>
      </c>
      <c r="U6" s="81">
        <v>45992</v>
      </c>
    </row>
    <row r="7" spans="13:27" ht="15.75">
      <c r="M7" s="78" t="s">
        <v>16</v>
      </c>
      <c r="N7" s="78" t="s">
        <v>50</v>
      </c>
      <c r="O7" s="78" t="s">
        <v>51</v>
      </c>
      <c r="P7" s="79">
        <v>1</v>
      </c>
      <c r="Q7" s="80">
        <v>2</v>
      </c>
      <c r="R7" s="80">
        <v>26</v>
      </c>
      <c r="S7" s="80"/>
      <c r="T7" s="80">
        <v>28</v>
      </c>
      <c r="U7" s="81">
        <v>45992</v>
      </c>
      <c r="X7" s="133" t="s">
        <v>52</v>
      </c>
      <c r="Y7" s="133"/>
      <c r="Z7" s="133"/>
      <c r="AA7" s="75">
        <v>201.5</v>
      </c>
    </row>
    <row r="8" spans="13:27" ht="15.75">
      <c r="M8" s="78" t="s">
        <v>16</v>
      </c>
      <c r="N8" s="78" t="s">
        <v>51</v>
      </c>
      <c r="O8" s="78" t="s">
        <v>53</v>
      </c>
      <c r="P8" s="79">
        <v>20</v>
      </c>
      <c r="Q8" s="80">
        <v>2</v>
      </c>
      <c r="R8" s="80">
        <v>26</v>
      </c>
      <c r="S8" s="80"/>
      <c r="T8" s="80">
        <v>66</v>
      </c>
      <c r="U8" s="81">
        <v>45992</v>
      </c>
    </row>
    <row r="9" spans="13:27" ht="15.75">
      <c r="M9" s="78" t="s">
        <v>16</v>
      </c>
      <c r="N9" s="78" t="s">
        <v>53</v>
      </c>
      <c r="O9" s="78" t="s">
        <v>49</v>
      </c>
      <c r="P9" s="79">
        <v>8</v>
      </c>
      <c r="Q9" s="80">
        <v>2</v>
      </c>
      <c r="R9" s="80">
        <v>26</v>
      </c>
      <c r="S9" s="80"/>
      <c r="T9" s="80">
        <v>42</v>
      </c>
      <c r="U9" s="81">
        <v>45992</v>
      </c>
      <c r="X9" s="113" t="s">
        <v>54</v>
      </c>
      <c r="Y9" s="113"/>
      <c r="Z9" s="113"/>
      <c r="AA9" s="75">
        <f>SUM(T4:T25)</f>
        <v>963</v>
      </c>
    </row>
    <row r="10" spans="13:27" ht="15.75">
      <c r="M10" s="78" t="s">
        <v>16</v>
      </c>
      <c r="N10" s="78" t="s">
        <v>49</v>
      </c>
      <c r="O10" s="78" t="s">
        <v>55</v>
      </c>
      <c r="P10" s="79">
        <v>1</v>
      </c>
      <c r="Q10" s="80">
        <v>2</v>
      </c>
      <c r="R10" s="80">
        <v>26</v>
      </c>
      <c r="S10" s="80"/>
      <c r="T10" s="80">
        <v>28</v>
      </c>
      <c r="U10" s="81">
        <v>45993</v>
      </c>
    </row>
    <row r="11" spans="13:27" ht="15.75">
      <c r="M11" s="78" t="s">
        <v>16</v>
      </c>
      <c r="N11" s="78" t="s">
        <v>55</v>
      </c>
      <c r="O11" s="78" t="s">
        <v>56</v>
      </c>
      <c r="P11" s="79">
        <v>3</v>
      </c>
      <c r="Q11" s="80">
        <v>2</v>
      </c>
      <c r="R11" s="80">
        <v>26</v>
      </c>
      <c r="S11" s="80"/>
      <c r="T11" s="80">
        <v>32</v>
      </c>
      <c r="U11" s="81">
        <v>45993</v>
      </c>
    </row>
    <row r="12" spans="13:27" ht="15.75">
      <c r="M12" s="78" t="s">
        <v>16</v>
      </c>
      <c r="N12" s="78" t="s">
        <v>56</v>
      </c>
      <c r="O12" s="78" t="s">
        <v>57</v>
      </c>
      <c r="P12" s="79">
        <v>1</v>
      </c>
      <c r="Q12" s="80">
        <v>2</v>
      </c>
      <c r="R12" s="80">
        <v>26</v>
      </c>
      <c r="S12" s="80"/>
      <c r="T12" s="80">
        <v>28</v>
      </c>
      <c r="U12" s="81">
        <v>45993</v>
      </c>
    </row>
    <row r="13" spans="13:27" ht="15.75">
      <c r="M13" s="78" t="s">
        <v>16</v>
      </c>
      <c r="N13" s="78" t="s">
        <v>57</v>
      </c>
      <c r="O13" s="78" t="s">
        <v>58</v>
      </c>
      <c r="P13" s="79">
        <v>17</v>
      </c>
      <c r="Q13" s="80">
        <v>2</v>
      </c>
      <c r="R13" s="80">
        <v>26</v>
      </c>
      <c r="S13" s="80"/>
      <c r="T13" s="80">
        <v>60</v>
      </c>
      <c r="U13" s="81">
        <v>45993</v>
      </c>
    </row>
    <row r="14" spans="13:27" ht="15.75">
      <c r="M14" s="78" t="s">
        <v>16</v>
      </c>
      <c r="N14" s="78" t="s">
        <v>58</v>
      </c>
      <c r="O14" s="78" t="s">
        <v>59</v>
      </c>
      <c r="P14" s="79">
        <v>4</v>
      </c>
      <c r="Q14" s="80">
        <v>2</v>
      </c>
      <c r="R14" s="80">
        <v>26</v>
      </c>
      <c r="S14" s="80"/>
      <c r="T14" s="80">
        <v>34</v>
      </c>
      <c r="U14" s="81">
        <v>45993</v>
      </c>
    </row>
    <row r="15" spans="13:27" ht="15.75">
      <c r="M15" s="78" t="s">
        <v>26</v>
      </c>
      <c r="N15" s="78" t="s">
        <v>60</v>
      </c>
      <c r="O15" s="78" t="s">
        <v>61</v>
      </c>
      <c r="P15" s="78">
        <v>13</v>
      </c>
      <c r="Q15" s="80">
        <v>2</v>
      </c>
      <c r="R15" s="80">
        <v>26</v>
      </c>
      <c r="S15" s="80">
        <v>55</v>
      </c>
      <c r="T15" s="80">
        <v>107</v>
      </c>
      <c r="U15" s="81">
        <v>45995</v>
      </c>
    </row>
    <row r="16" spans="13:27" ht="15.75">
      <c r="M16" s="78" t="s">
        <v>62</v>
      </c>
      <c r="N16" s="78" t="s">
        <v>61</v>
      </c>
      <c r="O16" s="78" t="s">
        <v>60</v>
      </c>
      <c r="P16" s="78">
        <v>13</v>
      </c>
      <c r="Q16" s="80">
        <v>2</v>
      </c>
      <c r="R16" s="80">
        <v>26</v>
      </c>
      <c r="S16" s="80"/>
      <c r="T16" s="80">
        <v>52</v>
      </c>
      <c r="U16" s="81">
        <v>45995</v>
      </c>
    </row>
    <row r="17" spans="13:23" ht="17.25" customHeight="1">
      <c r="M17" s="112" t="s">
        <v>62</v>
      </c>
      <c r="N17" s="78" t="s">
        <v>60</v>
      </c>
      <c r="O17" s="78" t="s">
        <v>63</v>
      </c>
      <c r="P17" s="78">
        <v>9</v>
      </c>
      <c r="Q17" s="80">
        <v>2</v>
      </c>
      <c r="R17" s="80">
        <v>26</v>
      </c>
      <c r="S17" s="80"/>
      <c r="T17" s="80">
        <v>44</v>
      </c>
      <c r="U17" s="81">
        <v>45999</v>
      </c>
    </row>
    <row r="18" spans="13:23" ht="18" customHeight="1">
      <c r="M18" s="112" t="s">
        <v>62</v>
      </c>
      <c r="N18" s="78" t="s">
        <v>63</v>
      </c>
      <c r="O18" s="78" t="s">
        <v>64</v>
      </c>
      <c r="P18" s="78">
        <v>1</v>
      </c>
      <c r="Q18" s="80">
        <v>2</v>
      </c>
      <c r="R18" s="80">
        <v>26</v>
      </c>
      <c r="S18" s="80"/>
      <c r="T18" s="80">
        <v>28</v>
      </c>
      <c r="U18" s="81">
        <v>45999</v>
      </c>
    </row>
    <row r="19" spans="13:23" ht="15.75">
      <c r="M19" s="78" t="s">
        <v>62</v>
      </c>
      <c r="N19" s="78" t="s">
        <v>64</v>
      </c>
      <c r="O19" s="78" t="s">
        <v>65</v>
      </c>
      <c r="P19" s="78">
        <v>2</v>
      </c>
      <c r="Q19" s="80">
        <v>2</v>
      </c>
      <c r="R19" s="80">
        <v>26</v>
      </c>
      <c r="S19" s="80"/>
      <c r="T19" s="80">
        <v>30</v>
      </c>
      <c r="U19" s="81">
        <v>45999</v>
      </c>
    </row>
    <row r="20" spans="13:23" ht="15.75">
      <c r="M20" s="78" t="s">
        <v>62</v>
      </c>
      <c r="N20" s="78" t="s">
        <v>65</v>
      </c>
      <c r="O20" s="78" t="s">
        <v>60</v>
      </c>
      <c r="P20" s="78">
        <v>9</v>
      </c>
      <c r="Q20" s="80">
        <v>2</v>
      </c>
      <c r="R20" s="80">
        <v>26</v>
      </c>
      <c r="S20" s="80"/>
      <c r="T20" s="80">
        <v>44</v>
      </c>
      <c r="U20" s="81">
        <v>45999</v>
      </c>
    </row>
    <row r="21" spans="13:23" ht="15.75">
      <c r="M21" s="78" t="s">
        <v>62</v>
      </c>
      <c r="N21" s="78" t="s">
        <v>60</v>
      </c>
      <c r="O21" s="78" t="s">
        <v>66</v>
      </c>
      <c r="P21" s="78">
        <v>4</v>
      </c>
      <c r="Q21" s="80">
        <v>2</v>
      </c>
      <c r="R21" s="80">
        <v>26</v>
      </c>
      <c r="S21" s="80"/>
      <c r="T21" s="80">
        <v>34</v>
      </c>
      <c r="U21" s="81">
        <v>46000</v>
      </c>
    </row>
    <row r="22" spans="13:23" ht="15.75">
      <c r="M22" s="78" t="s">
        <v>62</v>
      </c>
      <c r="N22" s="78" t="s">
        <v>66</v>
      </c>
      <c r="O22" s="78" t="s">
        <v>60</v>
      </c>
      <c r="P22" s="78">
        <v>4</v>
      </c>
      <c r="Q22" s="80">
        <v>2</v>
      </c>
      <c r="R22" s="80">
        <v>26</v>
      </c>
      <c r="S22" s="80"/>
      <c r="T22" s="80">
        <v>34</v>
      </c>
      <c r="U22" s="81">
        <v>46000</v>
      </c>
    </row>
    <row r="23" spans="13:23" ht="15.75">
      <c r="M23" s="78" t="s">
        <v>62</v>
      </c>
      <c r="N23" s="78" t="s">
        <v>60</v>
      </c>
      <c r="O23" s="78" t="s">
        <v>64</v>
      </c>
      <c r="P23" s="78">
        <v>9</v>
      </c>
      <c r="Q23" s="80">
        <v>2</v>
      </c>
      <c r="R23" s="80">
        <v>26</v>
      </c>
      <c r="S23" s="80"/>
      <c r="T23" s="80">
        <v>44</v>
      </c>
      <c r="U23" s="81">
        <v>46001</v>
      </c>
    </row>
    <row r="24" spans="13:23" ht="15.75">
      <c r="M24" s="78" t="s">
        <v>62</v>
      </c>
      <c r="N24" s="78" t="s">
        <v>64</v>
      </c>
      <c r="O24" s="78" t="s">
        <v>65</v>
      </c>
      <c r="P24" s="78">
        <v>2</v>
      </c>
      <c r="Q24" s="80">
        <v>2</v>
      </c>
      <c r="R24" s="80">
        <v>26</v>
      </c>
      <c r="S24" s="80"/>
      <c r="T24" s="80">
        <v>30</v>
      </c>
      <c r="U24" s="81">
        <v>46001</v>
      </c>
    </row>
    <row r="25" spans="13:23" ht="15.75">
      <c r="M25" s="78" t="s">
        <v>62</v>
      </c>
      <c r="N25" s="78" t="s">
        <v>65</v>
      </c>
      <c r="O25" s="78" t="s">
        <v>60</v>
      </c>
      <c r="P25" s="78">
        <v>9</v>
      </c>
      <c r="Q25" s="80">
        <v>2</v>
      </c>
      <c r="R25" s="80">
        <v>26</v>
      </c>
      <c r="S25" s="80"/>
      <c r="T25" s="80">
        <v>44</v>
      </c>
      <c r="U25" s="81">
        <v>46001</v>
      </c>
    </row>
    <row r="26" spans="13:23" ht="15.75">
      <c r="M26" s="115"/>
      <c r="N26" s="115"/>
      <c r="O26" s="115"/>
      <c r="P26" s="115"/>
      <c r="Q26" s="116"/>
      <c r="R26" s="116"/>
      <c r="S26" s="116"/>
      <c r="T26" s="116"/>
      <c r="U26" s="117"/>
      <c r="V26" t="s">
        <v>67</v>
      </c>
      <c r="W26" t="s">
        <v>68</v>
      </c>
    </row>
    <row r="27" spans="13:23" ht="15.75">
      <c r="M27" s="78" t="s">
        <v>62</v>
      </c>
      <c r="N27" s="78" t="s">
        <v>60</v>
      </c>
      <c r="O27" s="78" t="s">
        <v>69</v>
      </c>
      <c r="P27" s="78">
        <v>2</v>
      </c>
      <c r="Q27" s="80">
        <v>2</v>
      </c>
      <c r="R27" s="80">
        <v>26</v>
      </c>
      <c r="S27" s="80"/>
      <c r="T27" s="80">
        <v>30</v>
      </c>
      <c r="U27" s="81">
        <v>46002</v>
      </c>
    </row>
    <row r="28" spans="13:23" ht="15.75">
      <c r="M28" s="78" t="s">
        <v>62</v>
      </c>
      <c r="N28" s="78" t="s">
        <v>69</v>
      </c>
      <c r="O28" s="78" t="s">
        <v>70</v>
      </c>
      <c r="P28" s="78">
        <v>2</v>
      </c>
      <c r="Q28" s="80">
        <v>2</v>
      </c>
      <c r="R28" s="80">
        <v>26</v>
      </c>
      <c r="S28" s="80"/>
      <c r="T28" s="80">
        <v>30</v>
      </c>
      <c r="U28" s="81">
        <v>46002</v>
      </c>
    </row>
    <row r="29" spans="13:23" ht="15.75">
      <c r="M29" s="78" t="s">
        <v>62</v>
      </c>
      <c r="N29" s="78" t="s">
        <v>70</v>
      </c>
      <c r="O29" s="78" t="s">
        <v>60</v>
      </c>
      <c r="P29" s="78">
        <v>1</v>
      </c>
      <c r="Q29" s="80">
        <v>2</v>
      </c>
      <c r="R29" s="80">
        <v>26</v>
      </c>
      <c r="S29" s="80"/>
      <c r="T29" s="80">
        <v>28</v>
      </c>
      <c r="U29" s="81">
        <v>46002</v>
      </c>
    </row>
    <row r="30" spans="13:23" ht="15.75">
      <c r="M30" s="78" t="s">
        <v>62</v>
      </c>
      <c r="N30" s="78" t="s">
        <v>60</v>
      </c>
      <c r="O30" s="78" t="s">
        <v>65</v>
      </c>
      <c r="P30" s="78">
        <v>9</v>
      </c>
      <c r="Q30" s="80">
        <v>2</v>
      </c>
      <c r="R30" s="80">
        <v>26</v>
      </c>
      <c r="S30" s="80"/>
      <c r="T30" s="80">
        <v>44</v>
      </c>
      <c r="U30" s="81">
        <v>46005</v>
      </c>
    </row>
    <row r="31" spans="13:23" ht="15.75">
      <c r="M31" s="78"/>
      <c r="N31" s="78"/>
      <c r="O31" s="78"/>
      <c r="P31" s="78"/>
      <c r="Q31" s="80"/>
      <c r="R31" s="80"/>
      <c r="S31" s="80"/>
      <c r="T31" s="80"/>
      <c r="U31" s="81"/>
    </row>
    <row r="32" spans="13:23" ht="15.75">
      <c r="M32" s="78"/>
      <c r="N32" s="78"/>
      <c r="O32" s="78"/>
      <c r="P32" s="78"/>
      <c r="Q32" s="80"/>
      <c r="R32" s="80"/>
      <c r="S32" s="80"/>
      <c r="T32" s="80"/>
      <c r="U32" s="81"/>
    </row>
    <row r="33" spans="13:21" ht="15.75">
      <c r="M33" s="78"/>
      <c r="N33" s="78"/>
      <c r="O33" s="78"/>
      <c r="P33" s="78"/>
      <c r="Q33" s="80"/>
      <c r="R33" s="80"/>
      <c r="S33" s="80"/>
      <c r="T33" s="80"/>
      <c r="U33" s="81"/>
    </row>
    <row r="34" spans="13:21" ht="15.75">
      <c r="M34" s="78"/>
      <c r="N34" s="78"/>
      <c r="O34" s="78"/>
      <c r="P34" s="78"/>
      <c r="Q34" s="80"/>
      <c r="R34" s="80"/>
      <c r="S34" s="80"/>
      <c r="T34" s="80"/>
      <c r="U34" s="81"/>
    </row>
    <row r="35" spans="13:21" ht="15.75">
      <c r="M35" s="78"/>
      <c r="N35" s="78"/>
      <c r="O35" s="78"/>
      <c r="P35" s="78"/>
      <c r="Q35" s="80"/>
      <c r="R35" s="80"/>
      <c r="S35" s="80"/>
      <c r="T35" s="80"/>
      <c r="U35" s="81"/>
    </row>
    <row r="36" spans="13:21" ht="15.75">
      <c r="M36" s="78"/>
      <c r="N36" s="78"/>
      <c r="O36" s="78"/>
      <c r="P36" s="78"/>
      <c r="Q36" s="80"/>
      <c r="R36" s="80"/>
      <c r="S36" s="80"/>
      <c r="T36" s="80"/>
      <c r="U36" s="81"/>
    </row>
    <row r="37" spans="13:21" ht="15.75">
      <c r="M37" s="78"/>
      <c r="N37" s="78"/>
      <c r="O37" s="78"/>
      <c r="P37" s="78"/>
      <c r="Q37" s="80"/>
      <c r="R37" s="80"/>
      <c r="S37" s="80"/>
      <c r="T37" s="80"/>
      <c r="U37" s="81"/>
    </row>
    <row r="38" spans="13:21" ht="15.75">
      <c r="M38" s="78"/>
      <c r="N38" s="78"/>
      <c r="O38" s="78"/>
      <c r="P38" s="78"/>
      <c r="Q38" s="80"/>
      <c r="R38" s="80"/>
      <c r="S38" s="80"/>
      <c r="T38" s="80"/>
      <c r="U38" s="81"/>
    </row>
    <row r="39" spans="13:21" ht="15.75">
      <c r="M39" s="78"/>
      <c r="N39" s="78"/>
      <c r="O39" s="78"/>
      <c r="P39" s="78"/>
      <c r="Q39" s="80"/>
      <c r="R39" s="80"/>
      <c r="S39" s="80"/>
      <c r="T39" s="80"/>
      <c r="U39" s="81"/>
    </row>
    <row r="40" spans="13:21" ht="15.75">
      <c r="M40" s="78"/>
      <c r="N40" s="78"/>
      <c r="O40" s="78"/>
      <c r="P40" s="78"/>
      <c r="Q40" s="80"/>
      <c r="R40" s="80"/>
      <c r="S40" s="80"/>
      <c r="T40" s="80"/>
      <c r="U40" s="81"/>
    </row>
    <row r="41" spans="13:21" ht="15.75">
      <c r="M41" s="78"/>
      <c r="N41" s="78"/>
      <c r="O41" s="78"/>
      <c r="P41" s="78"/>
      <c r="Q41" s="80"/>
      <c r="R41" s="80"/>
      <c r="S41" s="80"/>
      <c r="T41" s="80"/>
      <c r="U41" s="81"/>
    </row>
    <row r="42" spans="13:21" ht="15.75">
      <c r="M42" s="78"/>
      <c r="N42" s="78"/>
      <c r="O42" s="78"/>
      <c r="P42" s="78"/>
      <c r="Q42" s="80"/>
      <c r="R42" s="80"/>
      <c r="S42" s="80"/>
      <c r="T42" s="80"/>
      <c r="U42" s="81"/>
    </row>
    <row r="43" spans="13:21" ht="15.75">
      <c r="M43" s="78"/>
      <c r="N43" s="78"/>
      <c r="O43" s="78"/>
      <c r="P43" s="78"/>
      <c r="Q43" s="80"/>
      <c r="R43" s="80"/>
      <c r="S43" s="80"/>
      <c r="T43" s="80"/>
      <c r="U43" s="81"/>
    </row>
    <row r="44" spans="13:21" ht="15.75">
      <c r="M44" s="78"/>
      <c r="N44" s="78"/>
      <c r="O44" s="78"/>
      <c r="P44" s="78"/>
      <c r="Q44" s="80"/>
      <c r="R44" s="80"/>
      <c r="S44" s="80"/>
      <c r="T44" s="80"/>
      <c r="U44" s="81"/>
    </row>
    <row r="45" spans="13:21" ht="15.75">
      <c r="M45" s="78"/>
      <c r="N45" s="78"/>
      <c r="O45" s="78"/>
      <c r="P45" s="78"/>
      <c r="Q45" s="80"/>
      <c r="R45" s="80"/>
      <c r="S45" s="80"/>
      <c r="T45" s="80"/>
      <c r="U45" s="81"/>
    </row>
    <row r="46" spans="13:21" ht="15.75">
      <c r="M46" s="78"/>
      <c r="N46" s="78"/>
      <c r="O46" s="78"/>
      <c r="P46" s="78"/>
      <c r="Q46" s="80"/>
      <c r="R46" s="80"/>
      <c r="S46" s="80"/>
      <c r="T46" s="80"/>
      <c r="U46" s="81"/>
    </row>
    <row r="47" spans="13:21" ht="15.75">
      <c r="M47" s="78"/>
      <c r="N47" s="78"/>
      <c r="O47" s="78"/>
      <c r="P47" s="78"/>
      <c r="Q47" s="80"/>
      <c r="R47" s="80"/>
      <c r="S47" s="80"/>
      <c r="T47" s="80"/>
      <c r="U47" s="81"/>
    </row>
    <row r="48" spans="13:21" ht="15.75">
      <c r="M48" s="78"/>
      <c r="N48" s="78"/>
      <c r="O48" s="78"/>
      <c r="P48" s="78"/>
      <c r="Q48" s="80"/>
      <c r="R48" s="80"/>
      <c r="S48" s="80"/>
      <c r="T48" s="80"/>
      <c r="U48" s="81"/>
    </row>
    <row r="49" spans="13:21" ht="15.75">
      <c r="M49" s="78"/>
      <c r="N49" s="78"/>
      <c r="O49" s="78"/>
      <c r="P49" s="78"/>
      <c r="Q49" s="80"/>
      <c r="R49" s="80"/>
      <c r="S49" s="80"/>
      <c r="T49" s="80"/>
      <c r="U49" s="81"/>
    </row>
    <row r="50" spans="13:21" ht="15.75">
      <c r="M50" s="78"/>
      <c r="N50" s="78"/>
      <c r="O50" s="78"/>
      <c r="P50" s="78"/>
      <c r="Q50" s="80"/>
      <c r="R50" s="80"/>
      <c r="S50" s="80"/>
      <c r="T50" s="80"/>
      <c r="U50" s="81"/>
    </row>
    <row r="51" spans="13:21" ht="15.75">
      <c r="M51" s="78"/>
      <c r="N51" s="78"/>
      <c r="O51" s="78"/>
      <c r="P51" s="78"/>
      <c r="Q51" s="80"/>
      <c r="R51" s="80"/>
      <c r="S51" s="80"/>
      <c r="T51" s="80"/>
      <c r="U51" s="81"/>
    </row>
    <row r="52" spans="13:21" ht="15.75">
      <c r="M52" s="78"/>
      <c r="N52" s="78"/>
      <c r="O52" s="78"/>
      <c r="P52" s="78"/>
      <c r="Q52" s="80"/>
      <c r="R52" s="80"/>
      <c r="S52" s="80"/>
      <c r="T52" s="80"/>
      <c r="U52" s="81"/>
    </row>
    <row r="53" spans="13:21" ht="15.75">
      <c r="M53" s="78"/>
      <c r="N53" s="78"/>
      <c r="O53" s="78"/>
      <c r="P53" s="78"/>
      <c r="Q53" s="80"/>
      <c r="R53" s="80"/>
      <c r="S53" s="80"/>
      <c r="T53" s="80"/>
      <c r="U53" s="81"/>
    </row>
    <row r="54" spans="13:21" ht="15.75">
      <c r="M54" s="78"/>
      <c r="N54" s="78"/>
      <c r="O54" s="78"/>
      <c r="P54" s="78"/>
      <c r="Q54" s="80"/>
      <c r="R54" s="80"/>
      <c r="S54" s="80"/>
      <c r="T54" s="80"/>
      <c r="U54" s="81"/>
    </row>
    <row r="55" spans="13:21" ht="15.75">
      <c r="M55" s="78"/>
      <c r="N55" s="78"/>
      <c r="O55" s="78"/>
      <c r="P55" s="78"/>
      <c r="Q55" s="80"/>
      <c r="R55" s="80"/>
      <c r="S55" s="80"/>
      <c r="T55" s="80"/>
      <c r="U55" s="81"/>
    </row>
    <row r="56" spans="13:21" ht="15.75">
      <c r="M56" s="78"/>
      <c r="N56" s="78"/>
      <c r="O56" s="78"/>
      <c r="P56" s="78"/>
      <c r="Q56" s="80"/>
      <c r="R56" s="80"/>
      <c r="S56" s="80"/>
      <c r="T56" s="80"/>
      <c r="U56" s="81"/>
    </row>
    <row r="57" spans="13:21" ht="15.75">
      <c r="M57" s="78"/>
      <c r="N57" s="78"/>
      <c r="O57" s="78"/>
      <c r="P57" s="78"/>
      <c r="Q57" s="80"/>
      <c r="R57" s="80"/>
      <c r="S57" s="80"/>
      <c r="T57" s="80"/>
      <c r="U57" s="81"/>
    </row>
    <row r="58" spans="13:21" ht="15.75">
      <c r="M58" s="78"/>
      <c r="N58" s="78"/>
      <c r="O58" s="78"/>
      <c r="P58" s="78"/>
      <c r="Q58" s="80"/>
      <c r="R58" s="80"/>
      <c r="S58" s="80"/>
      <c r="T58" s="80"/>
      <c r="U58" s="81"/>
    </row>
    <row r="59" spans="13:21" ht="15.75">
      <c r="M59" s="78"/>
      <c r="N59" s="78"/>
      <c r="O59" s="78"/>
      <c r="P59" s="78"/>
      <c r="Q59" s="80"/>
      <c r="R59" s="80"/>
      <c r="S59" s="80"/>
      <c r="T59" s="80"/>
      <c r="U59" s="81"/>
    </row>
    <row r="60" spans="13:21" ht="15.75">
      <c r="M60" s="78"/>
      <c r="N60" s="78"/>
      <c r="O60" s="78"/>
      <c r="P60" s="78"/>
      <c r="Q60" s="80"/>
      <c r="R60" s="80"/>
      <c r="S60" s="80"/>
      <c r="T60" s="80"/>
      <c r="U60" s="81"/>
    </row>
    <row r="61" spans="13:21" ht="15.75">
      <c r="M61" s="78"/>
      <c r="N61" s="78"/>
      <c r="O61" s="78"/>
      <c r="P61" s="78"/>
      <c r="Q61" s="80"/>
      <c r="R61" s="80"/>
      <c r="S61" s="80"/>
      <c r="T61" s="80"/>
      <c r="U61" s="81"/>
    </row>
    <row r="62" spans="13:21" ht="15.75">
      <c r="M62" s="78"/>
      <c r="N62" s="78"/>
      <c r="O62" s="78"/>
      <c r="P62" s="78"/>
      <c r="Q62" s="80"/>
      <c r="R62" s="80"/>
      <c r="S62" s="80"/>
      <c r="T62" s="80"/>
      <c r="U62" s="81"/>
    </row>
    <row r="63" spans="13:21" ht="15.75">
      <c r="M63" s="78"/>
      <c r="N63" s="78"/>
      <c r="O63" s="78"/>
      <c r="P63" s="78"/>
      <c r="Q63" s="80"/>
      <c r="R63" s="80"/>
      <c r="S63" s="80"/>
      <c r="T63" s="80"/>
      <c r="U63" s="81"/>
    </row>
    <row r="64" spans="13:21" ht="15.75">
      <c r="M64" s="78"/>
      <c r="N64" s="78"/>
      <c r="O64" s="78"/>
      <c r="P64" s="78"/>
      <c r="Q64" s="80"/>
      <c r="R64" s="80"/>
      <c r="S64" s="80"/>
      <c r="T64" s="80"/>
      <c r="U64" s="81"/>
    </row>
    <row r="65" spans="13:21" ht="15.75">
      <c r="M65" s="78"/>
      <c r="N65" s="78"/>
      <c r="O65" s="78"/>
      <c r="P65" s="78"/>
      <c r="Q65" s="80"/>
      <c r="R65" s="80"/>
      <c r="S65" s="80"/>
      <c r="T65" s="80"/>
      <c r="U65" s="81"/>
    </row>
    <row r="66" spans="13:21" ht="15.75">
      <c r="M66" s="78"/>
      <c r="N66" s="78"/>
      <c r="O66" s="78"/>
      <c r="P66" s="78"/>
      <c r="Q66" s="80"/>
      <c r="R66" s="80"/>
      <c r="S66" s="80"/>
      <c r="T66" s="80"/>
      <c r="U66" s="81"/>
    </row>
    <row r="67" spans="13:21" ht="15.75">
      <c r="M67" s="78"/>
      <c r="N67" s="78"/>
      <c r="O67" s="78"/>
      <c r="P67" s="78"/>
      <c r="Q67" s="80"/>
      <c r="R67" s="80"/>
      <c r="S67" s="80"/>
      <c r="T67" s="80"/>
      <c r="U67" s="81"/>
    </row>
    <row r="68" spans="13:21" ht="15.75">
      <c r="M68" s="78"/>
      <c r="N68" s="78"/>
      <c r="O68" s="78"/>
      <c r="P68" s="78"/>
      <c r="Q68" s="80"/>
      <c r="R68" s="80"/>
      <c r="S68" s="80"/>
      <c r="T68" s="80"/>
      <c r="U68" s="81"/>
    </row>
  </sheetData>
  <mergeCells count="2">
    <mergeCell ref="M1:P1"/>
    <mergeCell ref="X7:Z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403D-9E18-4089-A053-247CAB5AF68B}">
  <sheetPr>
    <tabColor theme="1" tint="0.499984740745262"/>
  </sheetPr>
  <dimension ref="C1:H103"/>
  <sheetViews>
    <sheetView tabSelected="1" topLeftCell="C5" workbookViewId="0">
      <selection activeCell="G15" sqref="G15"/>
    </sheetView>
  </sheetViews>
  <sheetFormatPr defaultRowHeight="15"/>
  <cols>
    <col min="4" max="4" width="35.7109375" style="119" customWidth="1"/>
    <col min="5" max="5" width="40.140625" style="42" customWidth="1"/>
    <col min="6" max="6" width="33.28515625" style="42" customWidth="1"/>
    <col min="7" max="7" width="70.85546875" style="42" bestFit="1" customWidth="1"/>
  </cols>
  <sheetData>
    <row r="1" spans="3:8" ht="15.75">
      <c r="F1" s="69"/>
    </row>
    <row r="2" spans="3:8" ht="51" customHeight="1">
      <c r="D2" s="134" t="s">
        <v>71</v>
      </c>
      <c r="E2" s="135"/>
      <c r="F2" s="135"/>
      <c r="G2" s="136"/>
    </row>
    <row r="3" spans="3:8" s="27" customFormat="1" ht="18">
      <c r="D3" s="120" t="s">
        <v>72</v>
      </c>
      <c r="E3" s="28" t="s">
        <v>12</v>
      </c>
      <c r="F3" s="28" t="s">
        <v>3</v>
      </c>
      <c r="G3" s="28" t="s">
        <v>15</v>
      </c>
    </row>
    <row r="4" spans="3:8" ht="15.75">
      <c r="D4" s="121" t="s">
        <v>73</v>
      </c>
      <c r="E4" s="32" t="s">
        <v>74</v>
      </c>
      <c r="F4" s="69" t="s">
        <v>75</v>
      </c>
      <c r="G4" s="69" t="s">
        <v>76</v>
      </c>
    </row>
    <row r="5" spans="3:8" ht="15.75">
      <c r="D5" s="121" t="s">
        <v>77</v>
      </c>
      <c r="E5" s="32" t="s">
        <v>78</v>
      </c>
      <c r="F5" s="69" t="s">
        <v>79</v>
      </c>
      <c r="G5" s="69" t="s">
        <v>80</v>
      </c>
    </row>
    <row r="6" spans="3:8" ht="15.75">
      <c r="D6" s="121" t="s">
        <v>81</v>
      </c>
      <c r="E6" s="32" t="s">
        <v>82</v>
      </c>
      <c r="F6" s="69" t="s">
        <v>83</v>
      </c>
      <c r="G6" s="69" t="s">
        <v>84</v>
      </c>
    </row>
    <row r="7" spans="3:8" ht="15.75">
      <c r="D7" s="122" t="s">
        <v>85</v>
      </c>
      <c r="E7" s="32" t="s">
        <v>86</v>
      </c>
      <c r="F7" s="69" t="s">
        <v>87</v>
      </c>
      <c r="G7" s="69" t="s">
        <v>88</v>
      </c>
    </row>
    <row r="8" spans="3:8" ht="15.75">
      <c r="D8" s="121" t="s">
        <v>89</v>
      </c>
      <c r="E8" s="32" t="s">
        <v>90</v>
      </c>
      <c r="F8" s="69" t="s">
        <v>91</v>
      </c>
      <c r="G8" s="69" t="s">
        <v>92</v>
      </c>
    </row>
    <row r="9" spans="3:8" ht="15.75">
      <c r="D9" s="121" t="s">
        <v>93</v>
      </c>
      <c r="E9" s="32" t="s">
        <v>94</v>
      </c>
      <c r="F9" s="69" t="s">
        <v>95</v>
      </c>
      <c r="G9" s="125" t="s">
        <v>96</v>
      </c>
    </row>
    <row r="10" spans="3:8" ht="15.75">
      <c r="D10" s="121" t="s">
        <v>97</v>
      </c>
      <c r="E10" s="32" t="s">
        <v>98</v>
      </c>
      <c r="F10" s="69" t="s">
        <v>99</v>
      </c>
      <c r="G10" s="69" t="s">
        <v>100</v>
      </c>
    </row>
    <row r="11" spans="3:8" ht="15.75">
      <c r="D11" s="121" t="s">
        <v>101</v>
      </c>
      <c r="E11" s="32" t="s">
        <v>102</v>
      </c>
      <c r="F11" s="69" t="s">
        <v>103</v>
      </c>
    </row>
    <row r="12" spans="3:8" ht="15.75">
      <c r="D12" s="121"/>
      <c r="E12" s="32" t="s">
        <v>104</v>
      </c>
      <c r="F12" s="69" t="s">
        <v>105</v>
      </c>
      <c r="G12" s="126" t="s">
        <v>106</v>
      </c>
    </row>
    <row r="13" spans="3:8" s="114" customFormat="1" ht="20.25" customHeight="1">
      <c r="C13" s="128"/>
      <c r="D13" s="123" t="s">
        <v>107</v>
      </c>
      <c r="E13" s="118" t="s">
        <v>108</v>
      </c>
      <c r="F13" s="69" t="s">
        <v>109</v>
      </c>
      <c r="G13" s="42"/>
      <c r="H13" s="128"/>
    </row>
    <row r="14" spans="3:8" ht="15.75">
      <c r="D14" s="122" t="s">
        <v>110</v>
      </c>
      <c r="E14" s="32" t="s">
        <v>111</v>
      </c>
      <c r="F14" s="69">
        <v>6122249118</v>
      </c>
      <c r="G14" s="42" t="s">
        <v>112</v>
      </c>
    </row>
    <row r="15" spans="3:8" ht="15.75">
      <c r="D15" s="124" t="s">
        <v>113</v>
      </c>
      <c r="E15" s="32" t="s">
        <v>114</v>
      </c>
      <c r="F15" s="69">
        <v>6123624400</v>
      </c>
    </row>
    <row r="16" spans="3:8" ht="15.75">
      <c r="F16" s="69"/>
    </row>
    <row r="17" spans="6:6" ht="15.75">
      <c r="F17" s="69"/>
    </row>
    <row r="18" spans="6:6" ht="15.75">
      <c r="F18" s="69"/>
    </row>
    <row r="19" spans="6:6" ht="15.75">
      <c r="F19" s="69"/>
    </row>
    <row r="20" spans="6:6" ht="15.75">
      <c r="F20" s="69"/>
    </row>
    <row r="21" spans="6:6" ht="15.75">
      <c r="F21" s="69"/>
    </row>
    <row r="22" spans="6:6" ht="15.75">
      <c r="F22" s="69"/>
    </row>
    <row r="23" spans="6:6" ht="15.75">
      <c r="F23" s="69"/>
    </row>
    <row r="24" spans="6:6" ht="15.75">
      <c r="F24" s="69"/>
    </row>
    <row r="25" spans="6:6" ht="15.75">
      <c r="F25" s="69"/>
    </row>
    <row r="26" spans="6:6" ht="15.75">
      <c r="F26" s="69"/>
    </row>
    <row r="27" spans="6:6" ht="15.75">
      <c r="F27" s="69"/>
    </row>
    <row r="28" spans="6:6" ht="15.75">
      <c r="F28" s="69"/>
    </row>
    <row r="29" spans="6:6" ht="15.75">
      <c r="F29" s="69"/>
    </row>
    <row r="30" spans="6:6" ht="15.75">
      <c r="F30" s="69"/>
    </row>
    <row r="31" spans="6:6" ht="15.75">
      <c r="F31" s="69"/>
    </row>
    <row r="32" spans="6:6" ht="15.75">
      <c r="F32" s="69"/>
    </row>
    <row r="33" spans="6:6" ht="15.75">
      <c r="F33" s="69"/>
    </row>
    <row r="34" spans="6:6" ht="15.75">
      <c r="F34" s="69"/>
    </row>
    <row r="35" spans="6:6" ht="15.75">
      <c r="F35" s="69"/>
    </row>
    <row r="36" spans="6:6" ht="15.75">
      <c r="F36" s="69"/>
    </row>
    <row r="37" spans="6:6" ht="15.75">
      <c r="F37" s="69"/>
    </row>
    <row r="38" spans="6:6" ht="15.75">
      <c r="F38" s="69"/>
    </row>
    <row r="39" spans="6:6" ht="15.75">
      <c r="F39" s="69"/>
    </row>
    <row r="40" spans="6:6" ht="15.75">
      <c r="F40" s="69"/>
    </row>
    <row r="41" spans="6:6" ht="15.75">
      <c r="F41" s="69"/>
    </row>
    <row r="42" spans="6:6" ht="15.75">
      <c r="F42" s="69"/>
    </row>
    <row r="43" spans="6:6" ht="15.75">
      <c r="F43" s="69"/>
    </row>
    <row r="44" spans="6:6" ht="15.75">
      <c r="F44" s="69"/>
    </row>
    <row r="45" spans="6:6" ht="15.75">
      <c r="F45" s="69"/>
    </row>
    <row r="46" spans="6:6" ht="15.75">
      <c r="F46" s="69"/>
    </row>
    <row r="47" spans="6:6" ht="15.75">
      <c r="F47" s="69"/>
    </row>
    <row r="48" spans="6:6" ht="15.75">
      <c r="F48" s="69"/>
    </row>
    <row r="49" spans="6:6" ht="15.75">
      <c r="F49" s="69"/>
    </row>
    <row r="50" spans="6:6" ht="15.75">
      <c r="F50" s="69"/>
    </row>
    <row r="51" spans="6:6" ht="15.75">
      <c r="F51" s="69"/>
    </row>
    <row r="52" spans="6:6" ht="15.75">
      <c r="F52" s="69"/>
    </row>
    <row r="53" spans="6:6" ht="15.75">
      <c r="F53" s="69"/>
    </row>
    <row r="54" spans="6:6" ht="15.75">
      <c r="F54" s="69"/>
    </row>
    <row r="55" spans="6:6" ht="15.75">
      <c r="F55" s="69"/>
    </row>
    <row r="56" spans="6:6" ht="15.75">
      <c r="F56" s="69"/>
    </row>
    <row r="57" spans="6:6" ht="15.75">
      <c r="F57" s="69"/>
    </row>
    <row r="58" spans="6:6" ht="15.75">
      <c r="F58" s="69"/>
    </row>
    <row r="59" spans="6:6" ht="15.75">
      <c r="F59" s="69"/>
    </row>
    <row r="60" spans="6:6" ht="15.75">
      <c r="F60" s="69"/>
    </row>
    <row r="61" spans="6:6" ht="15.75">
      <c r="F61" s="69"/>
    </row>
    <row r="62" spans="6:6" ht="15.75">
      <c r="F62" s="69"/>
    </row>
    <row r="63" spans="6:6" ht="15.75">
      <c r="F63" s="69"/>
    </row>
    <row r="64" spans="6:6" ht="15.75">
      <c r="F64" s="69"/>
    </row>
    <row r="65" spans="6:6" ht="15.75">
      <c r="F65" s="69"/>
    </row>
    <row r="66" spans="6:6" ht="15.75">
      <c r="F66" s="69"/>
    </row>
    <row r="67" spans="6:6" ht="15.75">
      <c r="F67" s="69"/>
    </row>
    <row r="68" spans="6:6" ht="15.75">
      <c r="F68" s="69"/>
    </row>
    <row r="69" spans="6:6" ht="15.75">
      <c r="F69" s="69"/>
    </row>
    <row r="70" spans="6:6" ht="15.75">
      <c r="F70" s="69"/>
    </row>
    <row r="71" spans="6:6" ht="15.75">
      <c r="F71" s="69"/>
    </row>
    <row r="72" spans="6:6" ht="15.75">
      <c r="F72" s="69"/>
    </row>
    <row r="73" spans="6:6" ht="15.75">
      <c r="F73" s="69"/>
    </row>
    <row r="74" spans="6:6" ht="15.75">
      <c r="F74" s="69"/>
    </row>
    <row r="75" spans="6:6" ht="15.75">
      <c r="F75" s="69"/>
    </row>
    <row r="76" spans="6:6" ht="15.75">
      <c r="F76" s="69"/>
    </row>
    <row r="77" spans="6:6" ht="15.75">
      <c r="F77" s="69"/>
    </row>
    <row r="78" spans="6:6" ht="15.75">
      <c r="F78" s="69"/>
    </row>
    <row r="79" spans="6:6" ht="15.75">
      <c r="F79" s="69"/>
    </row>
    <row r="80" spans="6:6" ht="15.75">
      <c r="F80" s="69"/>
    </row>
    <row r="81" spans="6:6" ht="15.75">
      <c r="F81" s="69"/>
    </row>
    <row r="82" spans="6:6" ht="15.75">
      <c r="F82" s="69"/>
    </row>
    <row r="83" spans="6:6" ht="15.75">
      <c r="F83" s="69"/>
    </row>
    <row r="84" spans="6:6" ht="15.75">
      <c r="F84" s="69"/>
    </row>
    <row r="85" spans="6:6" ht="15.75">
      <c r="F85" s="69"/>
    </row>
    <row r="86" spans="6:6" ht="15.75">
      <c r="F86" s="69"/>
    </row>
    <row r="87" spans="6:6" ht="15.75">
      <c r="F87" s="69"/>
    </row>
    <row r="88" spans="6:6" ht="15.75">
      <c r="F88" s="69"/>
    </row>
    <row r="89" spans="6:6" ht="15.75">
      <c r="F89" s="69"/>
    </row>
    <row r="90" spans="6:6" ht="15.75">
      <c r="F90" s="69"/>
    </row>
    <row r="91" spans="6:6" ht="15.75">
      <c r="F91" s="69"/>
    </row>
    <row r="92" spans="6:6" ht="15.75">
      <c r="F92" s="69"/>
    </row>
    <row r="93" spans="6:6" ht="15.75">
      <c r="F93" s="69"/>
    </row>
    <row r="94" spans="6:6" ht="15.75">
      <c r="F94" s="69"/>
    </row>
    <row r="95" spans="6:6" ht="15.75">
      <c r="F95" s="69"/>
    </row>
    <row r="96" spans="6:6" ht="15.75">
      <c r="F96" s="69"/>
    </row>
    <row r="97" spans="6:6" ht="15.75">
      <c r="F97" s="69"/>
    </row>
    <row r="98" spans="6:6" ht="15.75">
      <c r="F98" s="69"/>
    </row>
    <row r="99" spans="6:6" ht="15.75">
      <c r="F99" s="69"/>
    </row>
    <row r="100" spans="6:6" ht="15.75">
      <c r="F100" s="69"/>
    </row>
    <row r="101" spans="6:6" ht="15.75">
      <c r="F101" s="69"/>
    </row>
    <row r="102" spans="6:6" ht="15.75">
      <c r="F102" s="69"/>
    </row>
    <row r="103" spans="6:6" ht="15.75">
      <c r="F103" s="69"/>
    </row>
  </sheetData>
  <mergeCells count="1">
    <mergeCell ref="D2:G2"/>
  </mergeCells>
  <hyperlinks>
    <hyperlink ref="E4" r:id="rId1" xr:uid="{2B0EC146-314A-4569-B300-47F22AAD76A2}"/>
    <hyperlink ref="E7" r:id="rId2" xr:uid="{D2236D60-9DD3-4CAD-B48A-B2DC6E131EE8}"/>
    <hyperlink ref="E8" r:id="rId3" xr:uid="{6D944E19-2AD3-4FE6-9628-EC159E3DEB26}"/>
    <hyperlink ref="E9" r:id="rId4" xr:uid="{C517807D-9E9B-4812-80F3-F3DDDA5E172C}"/>
    <hyperlink ref="G8" r:id="rId5" display="mailto:melissa.langewisch@nystromcounseling.com" xr:uid="{A194A864-3C59-4BE8-BCD0-598D3FFCA296}"/>
    <hyperlink ref="E12" r:id="rId6" xr:uid="{CD583039-EE9E-4427-B5D6-5C2132507764}"/>
    <hyperlink ref="E13" r:id="rId7" xr:uid="{E5B25BD4-38B4-4800-BB8E-1F425873DC6D}"/>
    <hyperlink ref="E14" r:id="rId8" xr:uid="{25406ACB-B3E3-42CF-A2E0-EFE5FC9BEB47}"/>
    <hyperlink ref="E15" r:id="rId9" xr:uid="{89EC7AEF-8D84-4653-9A2C-6FC371E0FC2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CC1C-CEC4-4CB5-84A1-3C754812E395}">
  <sheetPr>
    <tabColor rgb="FFFFC7C7"/>
  </sheetPr>
  <dimension ref="D1:R39"/>
  <sheetViews>
    <sheetView topLeftCell="L1" workbookViewId="0">
      <selection activeCell="N6" sqref="N6"/>
    </sheetView>
  </sheetViews>
  <sheetFormatPr defaultRowHeight="15"/>
  <cols>
    <col min="4" max="4" width="27.140625" customWidth="1"/>
    <col min="5" max="5" width="16" customWidth="1"/>
    <col min="6" max="6" width="29.5703125" customWidth="1"/>
    <col min="7" max="7" width="17.7109375" bestFit="1" customWidth="1"/>
    <col min="8" max="8" width="20.140625" bestFit="1" customWidth="1"/>
    <col min="9" max="10" width="15.42578125" customWidth="1"/>
    <col min="11" max="12" width="20" bestFit="1" customWidth="1"/>
    <col min="13" max="13" width="50.5703125" bestFit="1" customWidth="1"/>
    <col min="14" max="14" width="21.5703125" bestFit="1" customWidth="1"/>
    <col min="15" max="15" width="16" style="73" bestFit="1" customWidth="1"/>
    <col min="16" max="16" width="29.42578125" bestFit="1" customWidth="1"/>
    <col min="17" max="17" width="12.5703125" bestFit="1" customWidth="1"/>
    <col min="18" max="18" width="18.85546875" bestFit="1" customWidth="1"/>
  </cols>
  <sheetData>
    <row r="1" spans="4:18" ht="31.5">
      <c r="D1" s="137" t="s">
        <v>115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</row>
    <row r="2" spans="4:18" ht="15.75">
      <c r="D2" s="30" t="s">
        <v>72</v>
      </c>
      <c r="E2" s="30" t="s">
        <v>116</v>
      </c>
      <c r="F2" s="30" t="s">
        <v>12</v>
      </c>
      <c r="G2" s="30" t="s">
        <v>117</v>
      </c>
      <c r="H2" s="30" t="s">
        <v>118</v>
      </c>
      <c r="I2" s="30" t="s">
        <v>119</v>
      </c>
      <c r="J2" s="30" t="s">
        <v>120</v>
      </c>
      <c r="K2" s="30" t="s">
        <v>121</v>
      </c>
      <c r="L2" s="30" t="s">
        <v>122</v>
      </c>
      <c r="M2" s="30" t="s">
        <v>4</v>
      </c>
      <c r="N2" s="30" t="s">
        <v>123</v>
      </c>
      <c r="O2" s="76" t="s">
        <v>124</v>
      </c>
      <c r="P2" s="30" t="s">
        <v>125</v>
      </c>
      <c r="Q2" s="108" t="s">
        <v>126</v>
      </c>
      <c r="R2" s="108" t="s">
        <v>127</v>
      </c>
    </row>
    <row r="3" spans="4:18">
      <c r="D3" s="31" t="s">
        <v>128</v>
      </c>
      <c r="E3" s="31">
        <v>7635875299</v>
      </c>
      <c r="F3" s="32" t="s">
        <v>129</v>
      </c>
      <c r="G3" s="31" t="s">
        <v>130</v>
      </c>
      <c r="H3" s="31" t="s">
        <v>131</v>
      </c>
      <c r="I3" s="31" t="s">
        <v>132</v>
      </c>
      <c r="J3" s="31" t="s">
        <v>133</v>
      </c>
      <c r="K3" s="31" t="s">
        <v>134</v>
      </c>
      <c r="L3" s="33">
        <v>46113</v>
      </c>
      <c r="M3" s="31" t="s">
        <v>135</v>
      </c>
      <c r="N3" s="31" t="s">
        <v>136</v>
      </c>
      <c r="O3" s="33">
        <v>45818</v>
      </c>
      <c r="P3" s="31" t="s">
        <v>137</v>
      </c>
      <c r="Q3" s="107">
        <v>47222</v>
      </c>
      <c r="R3" s="22"/>
    </row>
    <row r="4" spans="4:18">
      <c r="D4" s="31" t="s">
        <v>138</v>
      </c>
      <c r="E4" s="31">
        <v>7633464958</v>
      </c>
      <c r="F4" s="32" t="s">
        <v>139</v>
      </c>
      <c r="G4" s="31" t="s">
        <v>140</v>
      </c>
      <c r="H4" s="31" t="s">
        <v>141</v>
      </c>
      <c r="I4" s="31" t="s">
        <v>132</v>
      </c>
      <c r="J4" s="31" t="s">
        <v>142</v>
      </c>
      <c r="K4" s="31" t="s">
        <v>143</v>
      </c>
      <c r="L4" s="31"/>
      <c r="M4" s="31" t="s">
        <v>144</v>
      </c>
      <c r="N4" s="31" t="s">
        <v>136</v>
      </c>
      <c r="O4" s="33">
        <v>45830</v>
      </c>
      <c r="P4" s="31"/>
      <c r="Q4" s="109"/>
      <c r="R4" s="22"/>
    </row>
    <row r="5" spans="4:18"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3"/>
      <c r="P5" s="31"/>
      <c r="Q5" s="109"/>
      <c r="R5" s="22"/>
    </row>
    <row r="6" spans="4:18"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3"/>
      <c r="P6" s="31"/>
      <c r="Q6" s="109"/>
      <c r="R6" s="22"/>
    </row>
    <row r="7" spans="4:18"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3"/>
      <c r="P7" s="31"/>
      <c r="Q7" s="109"/>
      <c r="R7" s="22"/>
    </row>
    <row r="8" spans="4:18"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3"/>
      <c r="P8" s="31"/>
      <c r="Q8" s="109"/>
      <c r="R8" s="22"/>
    </row>
    <row r="9" spans="4:18"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3"/>
      <c r="P9" s="31"/>
      <c r="Q9" s="109"/>
      <c r="R9" s="22"/>
    </row>
    <row r="10" spans="4:18"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3"/>
      <c r="P10" s="31"/>
      <c r="Q10" s="109"/>
      <c r="R10" s="22"/>
    </row>
    <row r="11" spans="4:18"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3"/>
      <c r="P11" s="31"/>
      <c r="Q11" s="109"/>
      <c r="R11" s="22"/>
    </row>
    <row r="12" spans="4:18"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3"/>
      <c r="P12" s="31"/>
      <c r="Q12" s="109"/>
      <c r="R12" s="22"/>
    </row>
    <row r="13" spans="4:18"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3"/>
      <c r="P13" s="31"/>
      <c r="Q13" s="109"/>
      <c r="R13" s="22"/>
    </row>
    <row r="14" spans="4:18"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3"/>
      <c r="P14" s="31"/>
      <c r="Q14" s="109"/>
      <c r="R14" s="22"/>
    </row>
    <row r="15" spans="4:18"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3"/>
      <c r="P15" s="31"/>
      <c r="Q15" s="109"/>
      <c r="R15" s="22"/>
    </row>
    <row r="16" spans="4:18"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3"/>
      <c r="P16" s="31"/>
      <c r="Q16" s="109"/>
      <c r="R16" s="22"/>
    </row>
    <row r="17" spans="4:18"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3"/>
      <c r="P17" s="31"/>
      <c r="Q17" s="109"/>
      <c r="R17" s="22"/>
    </row>
    <row r="18" spans="4:18"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3"/>
      <c r="P18" s="31"/>
      <c r="Q18" s="109"/>
      <c r="R18" s="22"/>
    </row>
    <row r="19" spans="4:18"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3"/>
      <c r="P19" s="31"/>
      <c r="Q19" s="109"/>
      <c r="R19" s="22"/>
    </row>
    <row r="20" spans="4:18"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3"/>
      <c r="P20" s="31"/>
      <c r="Q20" s="109"/>
      <c r="R20" s="22"/>
    </row>
    <row r="21" spans="4:18"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3"/>
      <c r="P21" s="31"/>
      <c r="Q21" s="109"/>
      <c r="R21" s="22"/>
    </row>
    <row r="22" spans="4:18"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3"/>
      <c r="P22" s="31"/>
      <c r="Q22" s="109"/>
      <c r="R22" s="22"/>
    </row>
    <row r="23" spans="4:18"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3"/>
      <c r="P23" s="31"/>
      <c r="Q23" s="109"/>
      <c r="R23" s="22"/>
    </row>
    <row r="24" spans="4:18"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3"/>
      <c r="P24" s="31"/>
      <c r="Q24" s="109"/>
      <c r="R24" s="22"/>
    </row>
    <row r="25" spans="4:18"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3"/>
      <c r="P25" s="31"/>
      <c r="Q25" s="109"/>
      <c r="R25" s="22"/>
    </row>
    <row r="26" spans="4:18"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3"/>
      <c r="P26" s="31"/>
      <c r="Q26" s="109"/>
      <c r="R26" s="22"/>
    </row>
    <row r="27" spans="4:18"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3"/>
      <c r="P27" s="31"/>
      <c r="Q27" s="109"/>
      <c r="R27" s="22"/>
    </row>
    <row r="28" spans="4:18"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3"/>
      <c r="P28" s="31"/>
      <c r="Q28" s="109"/>
      <c r="R28" s="22"/>
    </row>
    <row r="29" spans="4:18"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3"/>
      <c r="P29" s="31"/>
      <c r="Q29" s="109"/>
      <c r="R29" s="22"/>
    </row>
    <row r="30" spans="4:18"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3"/>
      <c r="P30" s="31"/>
      <c r="Q30" s="109"/>
      <c r="R30" s="22"/>
    </row>
    <row r="31" spans="4:18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3"/>
      <c r="P31" s="31"/>
      <c r="Q31" s="109"/>
      <c r="R31" s="22"/>
    </row>
    <row r="32" spans="4:18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3"/>
      <c r="P32" s="31"/>
      <c r="Q32" s="109"/>
      <c r="R32" s="22"/>
    </row>
    <row r="33" spans="4:18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3"/>
      <c r="P33" s="31"/>
      <c r="Q33" s="109"/>
      <c r="R33" s="22"/>
    </row>
    <row r="34" spans="4:18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3"/>
      <c r="P34" s="31"/>
      <c r="Q34" s="109"/>
      <c r="R34" s="22"/>
    </row>
    <row r="35" spans="4:18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3"/>
      <c r="P35" s="31"/>
      <c r="Q35" s="109"/>
      <c r="R35" s="22"/>
    </row>
    <row r="36" spans="4:18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3"/>
      <c r="P36" s="31"/>
      <c r="Q36" s="109"/>
      <c r="R36" s="22"/>
    </row>
    <row r="37" spans="4:18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3"/>
      <c r="P37" s="31"/>
      <c r="Q37" s="109"/>
      <c r="R37" s="22"/>
    </row>
    <row r="38" spans="4:18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3"/>
      <c r="P38" s="31"/>
      <c r="Q38" s="109"/>
      <c r="R38" s="22"/>
    </row>
    <row r="39" spans="4:18"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3"/>
      <c r="P39" s="31"/>
      <c r="Q39" s="109"/>
      <c r="R39" s="22"/>
    </row>
  </sheetData>
  <mergeCells count="1">
    <mergeCell ref="D1:Q1"/>
  </mergeCells>
  <hyperlinks>
    <hyperlink ref="F3" r:id="rId1" xr:uid="{F6595B02-8213-4715-880A-624D2457788C}"/>
    <hyperlink ref="F4" r:id="rId2" xr:uid="{DC24AA5A-E214-43F5-9631-D5E4DDE9C96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5B12-8E39-47A4-8D2D-32C10429CEA0}">
  <sheetPr>
    <tabColor rgb="FFC00000"/>
  </sheetPr>
  <dimension ref="E5:V17"/>
  <sheetViews>
    <sheetView topLeftCell="F6" workbookViewId="0">
      <selection activeCell="I16" sqref="I16"/>
    </sheetView>
  </sheetViews>
  <sheetFormatPr defaultRowHeight="15"/>
  <cols>
    <col min="4" max="4" width="4.28515625" customWidth="1"/>
    <col min="5" max="5" width="2" customWidth="1"/>
    <col min="6" max="6" width="24.7109375" bestFit="1" customWidth="1"/>
    <col min="7" max="7" width="19.28515625" customWidth="1"/>
    <col min="8" max="8" width="14" bestFit="1" customWidth="1"/>
    <col min="9" max="9" width="35.42578125" bestFit="1" customWidth="1"/>
    <col min="10" max="10" width="28.42578125" style="39" bestFit="1" customWidth="1"/>
    <col min="11" max="11" width="8.140625" bestFit="1" customWidth="1"/>
  </cols>
  <sheetData>
    <row r="5" spans="5:22" s="3" customFormat="1" ht="45">
      <c r="E5" s="138" t="s">
        <v>145</v>
      </c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</row>
    <row r="6" spans="5:22" s="8" customFormat="1" ht="47.25">
      <c r="F6" s="92" t="s">
        <v>146</v>
      </c>
      <c r="G6" s="93" t="s">
        <v>147</v>
      </c>
      <c r="H6" s="93" t="s">
        <v>148</v>
      </c>
      <c r="I6" s="93" t="s">
        <v>149</v>
      </c>
      <c r="J6" s="94" t="s">
        <v>150</v>
      </c>
      <c r="K6" s="95" t="s">
        <v>151</v>
      </c>
      <c r="L6" s="96"/>
      <c r="M6" s="96"/>
      <c r="N6" s="96"/>
    </row>
    <row r="7" spans="5:22" s="3" customFormat="1" ht="30" customHeight="1">
      <c r="E7" s="128"/>
      <c r="F7" s="9" t="s">
        <v>25</v>
      </c>
      <c r="G7" s="97">
        <v>26</v>
      </c>
      <c r="H7" s="98">
        <v>2</v>
      </c>
      <c r="I7" s="98">
        <v>55</v>
      </c>
      <c r="J7" s="99">
        <v>1.25</v>
      </c>
      <c r="K7" s="10"/>
      <c r="L7" s="2"/>
      <c r="M7" s="2"/>
      <c r="N7" s="2"/>
      <c r="O7" s="128"/>
      <c r="P7" s="128"/>
      <c r="Q7" s="128"/>
      <c r="R7" s="128"/>
      <c r="S7" s="128"/>
      <c r="T7" s="128"/>
      <c r="U7" s="128"/>
      <c r="V7" s="128"/>
    </row>
    <row r="8" spans="5:22" s="3" customFormat="1" ht="33" customHeight="1">
      <c r="E8" s="128"/>
      <c r="F8" s="11" t="s">
        <v>152</v>
      </c>
      <c r="G8" s="100">
        <v>40</v>
      </c>
      <c r="H8" s="101">
        <v>3</v>
      </c>
      <c r="I8" s="102">
        <v>55</v>
      </c>
      <c r="J8" s="103">
        <v>1.5</v>
      </c>
      <c r="K8" s="10"/>
      <c r="L8" s="2"/>
      <c r="M8" s="2"/>
      <c r="N8" s="2"/>
      <c r="O8" s="128"/>
      <c r="P8" s="128"/>
      <c r="Q8" s="128"/>
      <c r="R8" s="128"/>
      <c r="S8" s="128"/>
      <c r="T8" s="128"/>
      <c r="U8" s="128"/>
      <c r="V8" s="128"/>
    </row>
    <row r="9" spans="5:22" s="72" customFormat="1" ht="34.5" customHeight="1">
      <c r="E9" s="128"/>
      <c r="F9" s="86"/>
      <c r="G9" s="87"/>
      <c r="H9" s="87"/>
      <c r="I9" s="88"/>
      <c r="J9" s="89"/>
      <c r="K9" s="90"/>
      <c r="L9" s="91"/>
      <c r="M9" s="91"/>
      <c r="N9" s="91"/>
      <c r="O9" s="128"/>
      <c r="P9" s="128"/>
      <c r="Q9" s="128"/>
      <c r="R9" s="128"/>
      <c r="S9" s="128"/>
      <c r="T9" s="128"/>
      <c r="U9" s="128"/>
      <c r="V9" s="128"/>
    </row>
    <row r="10" spans="5:22" s="3" customFormat="1">
      <c r="E10" s="128"/>
      <c r="F10" s="128"/>
      <c r="G10" s="128"/>
      <c r="H10" s="128"/>
      <c r="I10" s="128"/>
      <c r="J10" s="3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</row>
    <row r="11" spans="5:22" s="3" customFormat="1" ht="12.75" customHeight="1">
      <c r="E11" s="128"/>
      <c r="F11" s="128"/>
      <c r="G11" s="140" t="s">
        <v>153</v>
      </c>
      <c r="H11" s="140"/>
      <c r="I11" s="140"/>
      <c r="J11" s="140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</row>
    <row r="12" spans="5:22" s="3" customFormat="1" ht="15" hidden="1" customHeight="1">
      <c r="E12" s="128"/>
      <c r="F12" s="128"/>
      <c r="G12" s="140"/>
      <c r="H12" s="140"/>
      <c r="I12" s="140"/>
      <c r="J12" s="140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</row>
    <row r="13" spans="5:22" s="3" customFormat="1" ht="20.25" customHeight="1">
      <c r="E13" s="128"/>
      <c r="F13" s="128"/>
      <c r="G13" s="140"/>
      <c r="H13" s="140"/>
      <c r="I13" s="140"/>
      <c r="J13" s="140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</row>
    <row r="14" spans="5:22" s="3" customFormat="1">
      <c r="E14" s="128"/>
      <c r="F14" s="20"/>
      <c r="G14"/>
      <c r="H14"/>
      <c r="I14"/>
      <c r="J14" s="39"/>
      <c r="K14"/>
      <c r="L14"/>
      <c r="M14"/>
      <c r="N14"/>
      <c r="O14" s="128"/>
      <c r="P14" s="128"/>
      <c r="Q14" s="128"/>
      <c r="R14" s="128"/>
      <c r="S14" s="128"/>
      <c r="T14" s="128"/>
      <c r="U14" s="128"/>
      <c r="V14" s="128"/>
    </row>
    <row r="15" spans="5:22" s="3" customFormat="1">
      <c r="E15" s="128"/>
      <c r="F15" s="128"/>
      <c r="G15" s="128"/>
      <c r="H15" s="128"/>
      <c r="I15" s="128"/>
      <c r="J15" s="3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</row>
    <row r="16" spans="5:22" s="3" customFormat="1">
      <c r="E16" s="128"/>
      <c r="F16" s="128"/>
      <c r="G16" s="128"/>
      <c r="H16" s="128"/>
      <c r="I16" s="128"/>
      <c r="J16" s="3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</row>
    <row r="17" spans="5:22" s="3" customFormat="1">
      <c r="E17" s="128"/>
      <c r="F17" s="128"/>
      <c r="G17" s="128"/>
      <c r="H17" s="128"/>
      <c r="I17" s="128"/>
      <c r="J17" s="3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</row>
  </sheetData>
  <mergeCells count="2">
    <mergeCell ref="E5:V5"/>
    <mergeCell ref="G11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6027-E5C9-42BF-BAD5-8413506CF868}">
  <sheetPr>
    <tabColor rgb="FF00B0F0"/>
  </sheetPr>
  <dimension ref="F4:V19"/>
  <sheetViews>
    <sheetView topLeftCell="I4" workbookViewId="0">
      <selection activeCell="K15" sqref="K15"/>
    </sheetView>
  </sheetViews>
  <sheetFormatPr defaultRowHeight="15"/>
  <cols>
    <col min="10" max="10" width="3.140625" customWidth="1"/>
    <col min="11" max="11" width="41.28515625" customWidth="1"/>
    <col min="12" max="12" width="26" style="5" customWidth="1"/>
    <col min="13" max="13" width="29.28515625" customWidth="1"/>
    <col min="14" max="14" width="30" customWidth="1"/>
  </cols>
  <sheetData>
    <row r="4" spans="6:22" ht="33.75">
      <c r="F4" s="141" t="s">
        <v>154</v>
      </c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</row>
    <row r="5" spans="6:22" s="3" customFormat="1" ht="27" customHeight="1">
      <c r="F5" s="128"/>
      <c r="G5" s="128"/>
      <c r="H5" s="128"/>
      <c r="I5" s="128"/>
      <c r="J5" s="128"/>
      <c r="K5" s="15" t="s">
        <v>155</v>
      </c>
      <c r="L5" s="111" t="s">
        <v>156</v>
      </c>
      <c r="M5" s="110" t="s">
        <v>157</v>
      </c>
      <c r="N5" s="16" t="s">
        <v>151</v>
      </c>
      <c r="O5" s="128"/>
      <c r="P5" s="128"/>
      <c r="Q5" s="128"/>
      <c r="R5" s="128"/>
      <c r="S5" s="128"/>
      <c r="T5" s="128"/>
      <c r="U5" s="128"/>
      <c r="V5" s="128"/>
    </row>
    <row r="6" spans="6:22" ht="18.75">
      <c r="K6" s="17" t="s">
        <v>158</v>
      </c>
      <c r="L6" s="19">
        <v>385</v>
      </c>
      <c r="M6" s="18" t="s">
        <v>159</v>
      </c>
      <c r="N6" s="17"/>
    </row>
    <row r="7" spans="6:22" ht="21.75" customHeight="1" thickBot="1">
      <c r="K7" s="18" t="s">
        <v>160</v>
      </c>
      <c r="L7" s="19">
        <v>160</v>
      </c>
      <c r="M7" s="18" t="s">
        <v>161</v>
      </c>
      <c r="N7" s="17"/>
    </row>
    <row r="8" spans="6:22" ht="24" customHeight="1" thickBot="1">
      <c r="K8" s="18" t="s">
        <v>162</v>
      </c>
      <c r="L8" s="19">
        <v>112</v>
      </c>
      <c r="M8" s="18" t="s">
        <v>163</v>
      </c>
      <c r="N8" s="17"/>
    </row>
    <row r="9" spans="6:22" ht="18.75">
      <c r="K9" s="18" t="s">
        <v>164</v>
      </c>
      <c r="L9" s="19">
        <v>45</v>
      </c>
      <c r="M9" s="18" t="s">
        <v>165</v>
      </c>
      <c r="N9" s="17"/>
    </row>
    <row r="10" spans="6:22" ht="22.5" customHeight="1" thickBot="1">
      <c r="K10" s="18" t="s">
        <v>166</v>
      </c>
      <c r="L10" s="19"/>
      <c r="M10" s="17"/>
      <c r="N10" s="17"/>
    </row>
    <row r="11" spans="6:22" ht="21.75" customHeight="1">
      <c r="K11" s="18" t="s">
        <v>167</v>
      </c>
      <c r="L11" s="19">
        <v>20</v>
      </c>
      <c r="M11" s="21">
        <v>46344</v>
      </c>
      <c r="N11" s="17"/>
    </row>
    <row r="12" spans="6:22" ht="24.75" customHeight="1" thickBot="1">
      <c r="K12" s="18" t="s">
        <v>168</v>
      </c>
      <c r="L12" s="19"/>
      <c r="M12" s="18" t="s">
        <v>169</v>
      </c>
      <c r="N12" s="17"/>
    </row>
    <row r="13" spans="6:22" ht="18.75">
      <c r="K13" s="18" t="s">
        <v>170</v>
      </c>
      <c r="L13" s="19"/>
      <c r="M13" s="17"/>
      <c r="N13" s="17"/>
    </row>
    <row r="14" spans="6:22" ht="18.75">
      <c r="K14" s="18" t="s">
        <v>171</v>
      </c>
      <c r="L14" s="19">
        <v>14</v>
      </c>
      <c r="M14" s="17" t="s">
        <v>172</v>
      </c>
      <c r="N14" s="17"/>
    </row>
    <row r="15" spans="6:22" ht="18.75">
      <c r="K15" s="18"/>
      <c r="L15" s="19"/>
      <c r="M15" s="17"/>
      <c r="N15" s="17"/>
    </row>
    <row r="16" spans="6:22" ht="19.5" thickBot="1">
      <c r="K16" s="18"/>
      <c r="L16" s="19"/>
      <c r="M16" s="17"/>
      <c r="N16" s="17"/>
    </row>
    <row r="17" spans="11:16" ht="19.5" thickBot="1">
      <c r="K17" s="18"/>
      <c r="L17" s="19"/>
      <c r="M17" s="17"/>
      <c r="N17" s="17"/>
    </row>
    <row r="18" spans="11:16" ht="19.5" thickBot="1">
      <c r="K18" s="18"/>
      <c r="L18" s="19"/>
      <c r="M18" s="17"/>
      <c r="N18" s="17"/>
      <c r="P18" s="5">
        <f>SUM(L6:L19)</f>
        <v>736</v>
      </c>
    </row>
    <row r="19" spans="11:16" ht="19.5" thickBot="1">
      <c r="K19" s="18"/>
      <c r="L19" s="19"/>
      <c r="M19" s="17"/>
      <c r="N19" s="17"/>
    </row>
  </sheetData>
  <mergeCells count="1">
    <mergeCell ref="F4:V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AD80-4263-41D3-81E8-2CF28D454A72}">
  <sheetPr>
    <tabColor rgb="FF7030A0"/>
  </sheetPr>
  <dimension ref="A1"/>
  <sheetViews>
    <sheetView workbookViewId="0">
      <selection activeCell="G5" sqref="G5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AA74-155A-4D92-9A7B-F10552CAF7F5}">
  <sheetPr>
    <tabColor rgb="FFF76A0C"/>
  </sheetPr>
  <dimension ref="F2:J19"/>
  <sheetViews>
    <sheetView topLeftCell="F6" workbookViewId="0">
      <selection activeCell="I13" sqref="I13"/>
    </sheetView>
  </sheetViews>
  <sheetFormatPr defaultRowHeight="15"/>
  <cols>
    <col min="6" max="6" width="97.140625" customWidth="1"/>
    <col min="7" max="7" width="27.85546875" customWidth="1"/>
    <col min="8" max="8" width="38.7109375" bestFit="1" customWidth="1"/>
    <col min="9" max="9" width="9.7109375" bestFit="1" customWidth="1"/>
  </cols>
  <sheetData>
    <row r="2" spans="6:10" ht="24">
      <c r="F2" s="142" t="s">
        <v>173</v>
      </c>
      <c r="G2" s="142"/>
      <c r="H2" s="142"/>
      <c r="I2" s="142"/>
      <c r="J2" s="142"/>
    </row>
    <row r="3" spans="6:10" ht="21" customHeight="1">
      <c r="F3" s="22" t="s">
        <v>174</v>
      </c>
      <c r="G3" s="22" t="s">
        <v>175</v>
      </c>
      <c r="H3" s="22"/>
      <c r="I3" s="22"/>
      <c r="J3" s="22"/>
    </row>
    <row r="4" spans="6:10">
      <c r="F4" s="22" t="s">
        <v>176</v>
      </c>
      <c r="G4" s="22" t="s">
        <v>175</v>
      </c>
      <c r="H4" s="22"/>
      <c r="I4" s="22"/>
      <c r="J4" s="22"/>
    </row>
    <row r="5" spans="6:10">
      <c r="F5" s="22" t="s">
        <v>177</v>
      </c>
      <c r="G5" s="22" t="s">
        <v>178</v>
      </c>
      <c r="H5" s="22"/>
      <c r="I5" s="22"/>
      <c r="J5" s="22"/>
    </row>
    <row r="6" spans="6:10">
      <c r="F6" s="22" t="s">
        <v>179</v>
      </c>
      <c r="G6" s="22" t="s">
        <v>178</v>
      </c>
      <c r="H6" s="22"/>
      <c r="I6" s="22"/>
      <c r="J6" s="22"/>
    </row>
    <row r="7" spans="6:10">
      <c r="F7" s="22" t="s">
        <v>180</v>
      </c>
      <c r="G7" s="22" t="s">
        <v>178</v>
      </c>
      <c r="H7" s="22"/>
      <c r="I7" s="22"/>
      <c r="J7" s="22"/>
    </row>
    <row r="8" spans="6:10">
      <c r="F8" s="22" t="s">
        <v>181</v>
      </c>
      <c r="G8" s="22" t="s">
        <v>182</v>
      </c>
      <c r="H8" s="22"/>
      <c r="I8" s="22"/>
      <c r="J8" s="22"/>
    </row>
    <row r="9" spans="6:10">
      <c r="F9" s="22" t="s">
        <v>183</v>
      </c>
      <c r="G9" s="22" t="s">
        <v>178</v>
      </c>
      <c r="H9" s="22"/>
      <c r="I9" s="22"/>
      <c r="J9" s="22"/>
    </row>
    <row r="10" spans="6:10">
      <c r="F10" s="29" t="s">
        <v>184</v>
      </c>
      <c r="G10" s="22" t="s">
        <v>178</v>
      </c>
      <c r="H10" s="22"/>
      <c r="I10" s="22"/>
      <c r="J10" s="22"/>
    </row>
    <row r="11" spans="6:10">
      <c r="F11" s="35" t="s">
        <v>185</v>
      </c>
      <c r="G11" s="36"/>
      <c r="H11" s="22"/>
      <c r="I11" s="22"/>
      <c r="J11" s="22"/>
    </row>
    <row r="12" spans="6:10" ht="61.5" customHeight="1">
      <c r="F12" s="144" t="s">
        <v>186</v>
      </c>
      <c r="G12" s="22" t="s">
        <v>175</v>
      </c>
      <c r="H12" s="34" t="s">
        <v>187</v>
      </c>
      <c r="I12" s="22" t="s">
        <v>188</v>
      </c>
      <c r="J12" s="22"/>
    </row>
    <row r="13" spans="6:10" ht="17.25" customHeight="1">
      <c r="F13" s="22" t="s">
        <v>189</v>
      </c>
      <c r="G13" s="22" t="s">
        <v>182</v>
      </c>
      <c r="H13" s="22"/>
      <c r="I13" s="22"/>
      <c r="J13" s="22"/>
    </row>
    <row r="14" spans="6:10">
      <c r="F14" s="22" t="s">
        <v>190</v>
      </c>
      <c r="G14" s="22"/>
      <c r="H14" s="22"/>
      <c r="I14" s="22"/>
      <c r="J14" s="22"/>
    </row>
    <row r="15" spans="6:10">
      <c r="F15" s="22" t="s">
        <v>191</v>
      </c>
      <c r="G15" s="22"/>
      <c r="H15" s="22"/>
      <c r="I15" s="22"/>
      <c r="J15" s="22"/>
    </row>
    <row r="16" spans="6:10" ht="32.25" customHeight="1">
      <c r="F16" s="29" t="s">
        <v>192</v>
      </c>
      <c r="G16" s="29"/>
      <c r="H16" s="29"/>
      <c r="I16" s="29"/>
      <c r="J16" s="29"/>
    </row>
    <row r="17" spans="6:10">
      <c r="F17" s="22" t="s">
        <v>193</v>
      </c>
      <c r="G17" s="22"/>
      <c r="H17" s="22"/>
      <c r="I17" s="22"/>
      <c r="J17" s="22"/>
    </row>
    <row r="18" spans="6:10">
      <c r="F18" s="145" t="s">
        <v>194</v>
      </c>
      <c r="G18" s="22"/>
      <c r="H18" s="22"/>
      <c r="I18" s="22"/>
      <c r="J18" s="22"/>
    </row>
    <row r="19" spans="6:10">
      <c r="F19" s="22"/>
      <c r="G19" s="22"/>
      <c r="H19" s="22"/>
      <c r="I19" s="22"/>
      <c r="J19" s="22"/>
    </row>
  </sheetData>
  <mergeCells count="1">
    <mergeCell ref="F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8FCE-6263-458B-AEB5-44A7B5EF32FA}">
  <sheetPr>
    <tabColor rgb="FFFFFF00"/>
  </sheetPr>
  <dimension ref="F2:M17"/>
  <sheetViews>
    <sheetView topLeftCell="E1" workbookViewId="0">
      <selection activeCell="F1" sqref="F1"/>
    </sheetView>
  </sheetViews>
  <sheetFormatPr defaultRowHeight="15"/>
  <cols>
    <col min="6" max="6" width="9.140625" style="22"/>
    <col min="7" max="7" width="40" customWidth="1"/>
    <col min="8" max="8" width="27.42578125" customWidth="1"/>
    <col min="9" max="9" width="53.85546875" customWidth="1"/>
    <col min="10" max="10" width="34.5703125" customWidth="1"/>
    <col min="11" max="11" width="18" customWidth="1"/>
    <col min="12" max="12" width="55.5703125" customWidth="1"/>
  </cols>
  <sheetData>
    <row r="2" spans="6:13" ht="28.5">
      <c r="F2" s="143" t="s">
        <v>195</v>
      </c>
      <c r="G2" s="143"/>
      <c r="H2" s="143"/>
      <c r="I2" s="143"/>
      <c r="J2" s="143"/>
      <c r="K2" s="143"/>
      <c r="L2" s="143"/>
      <c r="M2" s="143"/>
    </row>
    <row r="3" spans="6:13" ht="24.75" customHeight="1">
      <c r="G3" s="104" t="s">
        <v>72</v>
      </c>
      <c r="H3" s="24" t="s">
        <v>12</v>
      </c>
      <c r="I3" s="24" t="s">
        <v>4</v>
      </c>
      <c r="J3" s="24" t="s">
        <v>3</v>
      </c>
      <c r="K3" s="24" t="s">
        <v>196</v>
      </c>
      <c r="L3" s="24" t="s">
        <v>197</v>
      </c>
    </row>
    <row r="4" spans="6:13" ht="28.5" customHeight="1">
      <c r="G4" s="104" t="s">
        <v>195</v>
      </c>
      <c r="H4" s="25" t="s">
        <v>198</v>
      </c>
      <c r="I4" s="24" t="s">
        <v>199</v>
      </c>
      <c r="J4" s="24" t="s">
        <v>200</v>
      </c>
      <c r="K4" s="24" t="s">
        <v>201</v>
      </c>
      <c r="L4" s="24" t="s">
        <v>202</v>
      </c>
    </row>
    <row r="5" spans="6:13" ht="24.75" customHeight="1">
      <c r="G5" s="105">
        <v>45818</v>
      </c>
      <c r="H5" s="24" t="s">
        <v>203</v>
      </c>
      <c r="I5" s="24"/>
      <c r="J5" s="24"/>
      <c r="K5" s="24"/>
      <c r="L5" s="24" t="s">
        <v>204</v>
      </c>
    </row>
    <row r="6" spans="6:13" ht="23.25" customHeight="1">
      <c r="G6" s="104"/>
      <c r="H6" s="26" t="s">
        <v>205</v>
      </c>
      <c r="I6" s="24"/>
      <c r="J6" s="24"/>
      <c r="K6" s="24"/>
      <c r="L6" s="24" t="s">
        <v>206</v>
      </c>
    </row>
    <row r="7" spans="6:13">
      <c r="G7" s="104" t="s">
        <v>207</v>
      </c>
      <c r="H7" s="24"/>
      <c r="I7" s="24"/>
      <c r="J7" s="24"/>
      <c r="K7" s="24"/>
      <c r="L7" s="24" t="s">
        <v>208</v>
      </c>
    </row>
    <row r="8" spans="6:13">
      <c r="G8" s="104" t="s">
        <v>209</v>
      </c>
      <c r="H8" s="24"/>
      <c r="I8" s="24"/>
      <c r="J8" s="24"/>
      <c r="K8" s="24"/>
      <c r="L8" s="24"/>
    </row>
    <row r="9" spans="6:13">
      <c r="G9" s="104" t="s">
        <v>210</v>
      </c>
      <c r="H9" s="24"/>
      <c r="I9" s="24"/>
      <c r="J9" s="24"/>
      <c r="K9" s="24"/>
      <c r="L9" s="24"/>
    </row>
    <row r="10" spans="6:13">
      <c r="G10" s="104"/>
      <c r="H10" s="24"/>
      <c r="I10" s="24"/>
      <c r="J10" s="24"/>
      <c r="K10" s="24"/>
      <c r="L10" s="24"/>
    </row>
    <row r="11" spans="6:13">
      <c r="G11" s="104"/>
      <c r="H11" s="24"/>
      <c r="I11" s="24"/>
      <c r="J11" s="24"/>
      <c r="K11" s="24"/>
      <c r="L11" s="24"/>
    </row>
    <row r="12" spans="6:13">
      <c r="G12" s="104"/>
      <c r="H12" s="24"/>
      <c r="I12" s="24"/>
      <c r="J12" s="24"/>
      <c r="K12" s="24"/>
      <c r="L12" s="24"/>
    </row>
    <row r="13" spans="6:13">
      <c r="G13" s="106"/>
      <c r="H13" s="23"/>
      <c r="I13" s="23"/>
      <c r="J13" s="23"/>
      <c r="K13" s="23"/>
      <c r="L13" s="23"/>
    </row>
    <row r="14" spans="6:13">
      <c r="G14" s="106"/>
      <c r="H14" s="23"/>
      <c r="I14" s="23"/>
      <c r="J14" s="23"/>
      <c r="K14" s="23"/>
      <c r="L14" s="23"/>
    </row>
    <row r="15" spans="6:13">
      <c r="G15" s="106"/>
      <c r="H15" s="23"/>
      <c r="I15" s="23"/>
      <c r="J15" s="23"/>
      <c r="K15" s="23"/>
      <c r="L15" s="23"/>
    </row>
    <row r="16" spans="6:13">
      <c r="G16" s="106"/>
      <c r="H16" s="23"/>
      <c r="I16" s="23"/>
      <c r="J16" s="23"/>
      <c r="K16" s="23"/>
      <c r="L16" s="23"/>
    </row>
    <row r="17" spans="7:12">
      <c r="G17" s="36"/>
      <c r="H17" s="22"/>
      <c r="I17" s="22"/>
      <c r="J17" s="22"/>
      <c r="K17" s="22"/>
      <c r="L17" s="22"/>
    </row>
  </sheetData>
  <mergeCells count="1">
    <mergeCell ref="F2:M2"/>
  </mergeCells>
  <hyperlinks>
    <hyperlink ref="H4" r:id="rId1" xr:uid="{AFE13992-6F2C-4469-A568-C40175AABF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Mubarak</dc:creator>
  <cp:keywords/>
  <dc:description/>
  <cp:lastModifiedBy>Omar Mubarak</cp:lastModifiedBy>
  <cp:revision/>
  <dcterms:created xsi:type="dcterms:W3CDTF">2015-06-05T18:17:20Z</dcterms:created>
  <dcterms:modified xsi:type="dcterms:W3CDTF">2025-12-15T02:09:57Z</dcterms:modified>
  <cp:category/>
  <cp:contentStatus/>
</cp:coreProperties>
</file>